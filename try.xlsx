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t_alldata\Excel\"/>
    </mc:Choice>
  </mc:AlternateContent>
  <bookViews>
    <workbookView xWindow="0" yWindow="0" windowWidth="19200" windowHeight="6900"/>
  </bookViews>
  <sheets>
    <sheet name="Student Grade" sheetId="1" r:id="rId1"/>
    <sheet name="Sales Data" sheetId="2" r:id="rId2"/>
    <sheet name="Employee Data" sheetId="3" r:id="rId3"/>
  </sheets>
  <definedNames>
    <definedName name="_xlnm._FilterDatabase" localSheetId="1" hidden="1">'Sales Data'!$A$1:$J$21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" i="1" l="1" a="1"/>
  <c r="U3" i="1" s="1"/>
  <c r="U4" i="1" a="1"/>
  <c r="U4" i="1" s="1"/>
  <c r="U5" i="1" a="1"/>
  <c r="U5" i="1"/>
  <c r="U6" i="1" a="1"/>
  <c r="U6" i="1"/>
  <c r="U7" i="1" a="1"/>
  <c r="U7" i="1" s="1"/>
  <c r="U8" i="1" a="1"/>
  <c r="U8" i="1" s="1"/>
  <c r="U9" i="1" a="1"/>
  <c r="U9" i="1"/>
  <c r="U10" i="1" a="1"/>
  <c r="U10" i="1"/>
  <c r="U11" i="1" a="1"/>
  <c r="U11" i="1" s="1"/>
  <c r="U12" i="1" a="1"/>
  <c r="U12" i="1" s="1"/>
  <c r="U13" i="1" a="1"/>
  <c r="U13" i="1"/>
  <c r="U14" i="1" a="1"/>
  <c r="U14" i="1"/>
  <c r="U15" i="1" a="1"/>
  <c r="U15" i="1" s="1"/>
  <c r="U16" i="1" a="1"/>
  <c r="U16" i="1" s="1"/>
  <c r="U17" i="1" a="1"/>
  <c r="U17" i="1"/>
  <c r="U18" i="1" a="1"/>
  <c r="U18" i="1" s="1"/>
  <c r="U19" i="1" a="1"/>
  <c r="U19" i="1" s="1"/>
  <c r="U20" i="1" a="1"/>
  <c r="U20" i="1" s="1"/>
  <c r="U21" i="1" a="1"/>
  <c r="U21" i="1"/>
  <c r="U2" i="1" a="1"/>
  <c r="U2" i="1" s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" i="1"/>
  <c r="P2" i="1"/>
  <c r="U2" i="2"/>
  <c r="S2" i="2"/>
  <c r="Q2" i="2" l="1"/>
  <c r="P2" i="3"/>
  <c r="K3" i="3"/>
  <c r="N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" i="3"/>
  <c r="J2" i="2"/>
  <c r="I2" i="2"/>
  <c r="J2" i="1"/>
  <c r="K2" i="2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  <c r="M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  <c r="I2" i="1"/>
  <c r="K2" i="1"/>
  <c r="I2" i="3" l="1"/>
  <c r="O2" i="2"/>
  <c r="M2" i="2"/>
  <c r="O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G2" i="3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H2" i="2" l="1"/>
</calcChain>
</file>

<file path=xl/sharedStrings.xml><?xml version="1.0" encoding="utf-8"?>
<sst xmlns="http://schemas.openxmlformats.org/spreadsheetml/2006/main" count="185" uniqueCount="125">
  <si>
    <t>Student ID</t>
  </si>
  <si>
    <t>Name</t>
  </si>
  <si>
    <t>Math</t>
  </si>
  <si>
    <t>Science</t>
  </si>
  <si>
    <t>English</t>
  </si>
  <si>
    <t>Enrollment Date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</si>
  <si>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</si>
  <si>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</si>
  <si>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</si>
  <si>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</si>
  <si>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</si>
  <si>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</si>
  <si>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</si>
  <si>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</si>
  <si>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</si>
  <si>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</si>
  <si>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</si>
  <si>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</si>
  <si>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</si>
  <si>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</si>
  <si>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</si>
  <si>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</si>
  <si>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</si>
  <si>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</si>
  <si>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</si>
  <si>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</si>
  <si>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Grade</t>
  </si>
  <si>
    <t>Scoring above 60</t>
  </si>
  <si>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</si>
  <si>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</si>
  <si>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</si>
  <si>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</si>
  <si>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</si>
  <si>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</si>
  <si>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</si>
  <si>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</si>
  <si>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</si>
  <si>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</si>
  <si>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</si>
  <si>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</si>
  <si>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</si>
  <si>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</si>
  <si>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</si>
  <si>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</si>
  <si>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</si>
  <si>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</si>
  <si>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</si>
  <si>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</si>
  <si>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</si>
  <si>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</si>
  <si>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</si>
  <si>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</si>
  <si>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</si>
  <si>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</si>
  <si>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</si>
  <si>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</si>
  <si>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</si>
  <si>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</si>
  <si>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</si>
  <si>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</si>
  <si>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</si>
  <si>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</si>
  <si>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</si>
  <si>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Price</t>
  </si>
  <si>
    <t>Pro.Name</t>
  </si>
  <si>
    <t>Employee ID</t>
  </si>
  <si>
    <t>Department</t>
  </si>
  <si>
    <t>Salary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</si>
  <si>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</si>
  <si>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</si>
  <si>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</si>
  <si>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</si>
  <si>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</si>
  <si>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</si>
  <si>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</si>
  <si>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</si>
  <si>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</si>
  <si>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</si>
  <si>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</si>
  <si>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</si>
  <si>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</si>
  <si>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</si>
  <si>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</si>
  <si>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</si>
  <si>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</si>
  <si>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</si>
  <si>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</si>
  <si>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</si>
  <si>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</si>
  <si>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</si>
  <si>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</si>
  <si>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</si>
  <si>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</si>
  <si>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Emp.Name</t>
  </si>
  <si>
    <t>Discount</t>
  </si>
  <si>
    <t>Math's &amp; Science 80 up Score</t>
  </si>
  <si>
    <t>Pro.Discount</t>
  </si>
  <si>
    <t>Above 50 Math's</t>
  </si>
  <si>
    <t>Category Total</t>
  </si>
  <si>
    <t>Average Total</t>
  </si>
  <si>
    <t>Above 60 Avg.</t>
  </si>
  <si>
    <t>Student Id</t>
  </si>
  <si>
    <t>Student Name</t>
  </si>
  <si>
    <t>Pro.Id</t>
  </si>
  <si>
    <t>Pro.Price</t>
  </si>
  <si>
    <t>Person Name</t>
  </si>
  <si>
    <t>Dy.Salary</t>
  </si>
  <si>
    <t>Average</t>
  </si>
  <si>
    <t>PER.NAME</t>
  </si>
  <si>
    <t>AMOUNT</t>
  </si>
  <si>
    <t>upper</t>
  </si>
  <si>
    <t>LOWER</t>
  </si>
  <si>
    <t xml:space="preserve">FIND NAME </t>
  </si>
  <si>
    <t>name</t>
  </si>
  <si>
    <t>emp.name</t>
  </si>
  <si>
    <t>amount</t>
  </si>
  <si>
    <t>pro.name</t>
  </si>
  <si>
    <t>position</t>
  </si>
  <si>
    <t>result</t>
  </si>
  <si>
    <t>date</t>
  </si>
  <si>
    <t>different</t>
  </si>
  <si>
    <t>round fig</t>
  </si>
  <si>
    <t>Ceiling</t>
  </si>
  <si>
    <t>floor val</t>
  </si>
  <si>
    <t>FIL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</si>
</sst>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[$₹-4009]\ * #,##0.00_ ;_ [$₹-4009]\ * \-#,##0.00_ ;_ [$₹-4009]\ * &quot;-&quot;??_ ;_ @_ 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5"/>
        <bgColor theme="5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1"/>
        <bgColor theme="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8"/>
        <bgColor theme="8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6"/>
        <bgColor theme="6"/>
      </patternFill>
    </fill>
    <fill>
      <patternFill patternType="solid">
        <fgColor theme="6" tint="-0.249977111117893"/>
        <bgColor theme="6" tint="-0.249977111117893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8"/>
      </patternFill>
    </fill>
    <fill>
      <patternFill patternType="solid">
        <fgColor theme="9" tint="0.59999389629810485"/>
        <bgColor theme="8" tint="0.59999389629810485"/>
      </patternFill>
    </fill>
    <fill>
      <patternFill patternType="solid">
        <fgColor theme="1"/>
        <bgColor theme="5"/>
      </patternFill>
    </fill>
    <fill>
      <patternFill patternType="solid">
        <fgColor theme="0" tint="-0.499984740745262"/>
        <bgColor theme="5" tint="0.5999938962981048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7" tint="0.39997558519241921"/>
      </left>
      <right style="thin">
        <color indexed="64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7" tint="0.39997558519241921"/>
      </left>
      <right style="thin">
        <color indexed="64"/>
      </right>
      <top style="thin">
        <color theme="7" tint="0.39997558519241921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22" fontId="4" fillId="3" borderId="2" xfId="0" applyNumberFormat="1" applyFont="1" applyFill="1" applyBorder="1" applyAlignment="1">
      <alignment horizontal="center" vertical="center" wrapText="1"/>
    </xf>
    <xf numFmtId="22" fontId="4" fillId="0" borderId="2" xfId="0" applyNumberFormat="1" applyFont="1" applyBorder="1" applyAlignment="1">
      <alignment horizontal="center" vertical="center" wrapText="1"/>
    </xf>
    <xf numFmtId="22" fontId="4" fillId="0" borderId="4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22" fontId="0" fillId="0" borderId="3" xfId="0" applyNumberFormat="1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22" fontId="0" fillId="0" borderId="1" xfId="0" applyNumberFormat="1" applyFont="1" applyBorder="1" applyAlignment="1">
      <alignment horizontal="center" vertical="center" wrapText="1"/>
    </xf>
    <xf numFmtId="0" fontId="0" fillId="8" borderId="2" xfId="0" applyFont="1" applyFill="1" applyBorder="1" applyAlignment="1">
      <alignment horizontal="center" vertical="center" wrapText="1"/>
    </xf>
    <xf numFmtId="22" fontId="0" fillId="8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22" fontId="0" fillId="8" borderId="2" xfId="0" applyNumberFormat="1" applyFont="1" applyFill="1" applyBorder="1" applyAlignment="1">
      <alignment horizontal="center" vertical="center" wrapText="1"/>
    </xf>
    <xf numFmtId="0" fontId="0" fillId="4" borderId="2" xfId="0" applyFont="1" applyFill="1" applyBorder="1" applyAlignment="1">
      <alignment horizontal="center" vertical="center" wrapText="1"/>
    </xf>
    <xf numFmtId="22" fontId="0" fillId="4" borderId="3" xfId="0" applyNumberFormat="1" applyFont="1" applyFill="1" applyBorder="1" applyAlignment="1">
      <alignment horizontal="center" vertical="center" wrapText="1"/>
    </xf>
    <xf numFmtId="22" fontId="0" fillId="4" borderId="2" xfId="0" applyNumberFormat="1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0" fillId="19" borderId="5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0" fillId="19" borderId="9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0" fillId="15" borderId="5" xfId="0" applyFont="1" applyFill="1" applyBorder="1" applyAlignment="1">
      <alignment horizontal="center" vertical="center"/>
    </xf>
    <xf numFmtId="0" fontId="1" fillId="10" borderId="5" xfId="0" applyFont="1" applyFill="1" applyBorder="1" applyAlignment="1">
      <alignment horizontal="center" vertical="center"/>
    </xf>
    <xf numFmtId="0" fontId="0" fillId="11" borderId="5" xfId="0" applyFont="1" applyFill="1" applyBorder="1" applyAlignment="1">
      <alignment horizontal="center" vertical="center"/>
    </xf>
    <xf numFmtId="0" fontId="0" fillId="12" borderId="5" xfId="0" applyFont="1" applyFill="1" applyBorder="1" applyAlignment="1">
      <alignment horizontal="center" vertical="center"/>
    </xf>
    <xf numFmtId="164" fontId="0" fillId="14" borderId="5" xfId="0" applyNumberFormat="1" applyFont="1" applyFill="1" applyBorder="1" applyAlignment="1">
      <alignment horizontal="center" vertical="center"/>
    </xf>
    <xf numFmtId="164" fontId="0" fillId="4" borderId="5" xfId="0" applyNumberFormat="1" applyFont="1" applyFill="1" applyBorder="1" applyAlignment="1">
      <alignment horizontal="center" vertical="center"/>
    </xf>
    <xf numFmtId="0" fontId="0" fillId="16" borderId="5" xfId="0" applyFont="1" applyFill="1" applyBorder="1"/>
    <xf numFmtId="0" fontId="1" fillId="21" borderId="5" xfId="0" applyFont="1" applyFill="1" applyBorder="1" applyAlignment="1">
      <alignment horizontal="center" vertical="center"/>
    </xf>
    <xf numFmtId="0" fontId="0" fillId="20" borderId="5" xfId="0" applyFont="1" applyFill="1" applyBorder="1" applyAlignment="1">
      <alignment horizontal="center" vertical="center"/>
    </xf>
    <xf numFmtId="0" fontId="1" fillId="21" borderId="8" xfId="0" applyFont="1" applyFill="1" applyBorder="1" applyAlignment="1">
      <alignment horizontal="center" vertical="center"/>
    </xf>
    <xf numFmtId="0" fontId="0" fillId="20" borderId="8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164" fontId="0" fillId="14" borderId="9" xfId="0" applyNumberFormat="1" applyFont="1" applyFill="1" applyBorder="1" applyAlignment="1">
      <alignment horizontal="center" vertical="center"/>
    </xf>
    <xf numFmtId="0" fontId="2" fillId="19" borderId="8" xfId="0" applyFont="1" applyFill="1" applyBorder="1" applyAlignment="1">
      <alignment horizontal="center" vertical="center"/>
    </xf>
    <xf numFmtId="0" fontId="0" fillId="15" borderId="8" xfId="0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1" fillId="13" borderId="10" xfId="0" applyFont="1" applyFill="1" applyBorder="1" applyAlignment="1">
      <alignment horizontal="center" vertical="center"/>
    </xf>
    <xf numFmtId="0" fontId="0" fillId="8" borderId="10" xfId="0" applyFont="1" applyFill="1" applyBorder="1" applyAlignment="1">
      <alignment horizontal="center" vertical="center"/>
    </xf>
    <xf numFmtId="0" fontId="0" fillId="0" borderId="0" xfId="0" applyBorder="1"/>
    <xf numFmtId="0" fontId="6" fillId="17" borderId="11" xfId="0" applyFont="1" applyFill="1" applyBorder="1" applyAlignment="1">
      <alignment horizontal="center" vertical="center"/>
    </xf>
    <xf numFmtId="0" fontId="6" fillId="18" borderId="12" xfId="0" applyFont="1" applyFill="1" applyBorder="1" applyAlignment="1">
      <alignment horizontal="center" vertical="center"/>
    </xf>
    <xf numFmtId="0" fontId="6" fillId="17" borderId="12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6" fillId="18" borderId="13" xfId="0" applyFont="1" applyFill="1" applyBorder="1" applyAlignment="1">
      <alignment horizontal="center" vertical="center"/>
    </xf>
    <xf numFmtId="0" fontId="1" fillId="22" borderId="5" xfId="0" applyFont="1" applyFill="1" applyBorder="1" applyAlignment="1">
      <alignment horizontal="center" vertical="center"/>
    </xf>
    <xf numFmtId="0" fontId="0" fillId="23" borderId="5" xfId="0" applyFont="1" applyFill="1" applyBorder="1" applyAlignment="1">
      <alignment horizontal="center" vertical="center"/>
    </xf>
    <xf numFmtId="0" fontId="1" fillId="24" borderId="12" xfId="0" applyFont="1" applyFill="1" applyBorder="1" applyAlignment="1">
      <alignment horizontal="center" vertical="center"/>
    </xf>
    <xf numFmtId="0" fontId="6" fillId="25" borderId="11" xfId="0" applyFont="1" applyFill="1" applyBorder="1" applyAlignment="1">
      <alignment horizontal="center" vertical="center"/>
    </xf>
    <xf numFmtId="0" fontId="0" fillId="26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0" fillId="11" borderId="15" xfId="0" applyFont="1" applyFill="1" applyBorder="1"/>
    <xf numFmtId="0" fontId="0" fillId="0" borderId="15" xfId="0" applyFont="1" applyBorder="1"/>
    <xf numFmtId="0" fontId="0" fillId="0" borderId="14" xfId="0" applyFont="1" applyBorder="1"/>
    <xf numFmtId="0" fontId="1" fillId="27" borderId="15" xfId="0" applyFont="1" applyFill="1" applyBorder="1" applyAlignment="1">
      <alignment horizontal="center" vertical="center"/>
    </xf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tabSelected="1" zoomScale="61" zoomScaleNormal="55" workbookViewId="0">
      <selection activeCell="V1" sqref="V1"/>
    </sheetView>
  </sheetViews>
  <sheetFormatPr defaultRowHeight="14" customHeight="1" x14ac:dyDescent="0.35"/>
  <cols>
    <col min="1" max="1" width="13.54296875" customWidth="1"/>
    <col min="2" max="2" width="11.26953125" customWidth="1"/>
    <col min="3" max="3" width="10.1796875" customWidth="1"/>
    <col min="4" max="4" width="11.54296875" customWidth="1"/>
    <col min="5" max="5" width="11.7265625" customWidth="1"/>
    <col min="6" max="6" width="20.26953125" customWidth="1"/>
    <col min="7" max="7" width="14.90625" customWidth="1"/>
    <col min="8" max="8" width="11.90625" customWidth="1"/>
    <col min="9" max="9" width="17.26953125" style="8" customWidth="1"/>
    <col min="10" max="10" width="12.36328125" customWidth="1"/>
    <col min="11" max="11" width="14.90625" customWidth="1"/>
    <col min="12" max="12" width="14.6328125" customWidth="1"/>
    <col min="13" max="13" width="17.26953125" customWidth="1"/>
    <col min="14" max="14" width="14.36328125" customWidth="1"/>
    <col min="15" max="15" width="18.7265625" customWidth="1"/>
    <col min="16" max="16" width="11" customWidth="1"/>
    <col min="17" max="17" width="10.7265625" customWidth="1"/>
    <col min="18" max="18" width="9.26953125" customWidth="1"/>
    <col min="19" max="19" width="8.26953125" customWidth="1"/>
    <col min="20" max="20" width="9.36328125" customWidth="1"/>
    <col min="21" max="21" width="10.90625" customWidth="1"/>
  </cols>
  <sheetData>
    <row r="1" spans="1:21" ht="14" customHeight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1" t="s">
        <v>107</v>
      </c>
      <c r="H1" s="25" t="s">
        <v>26</v>
      </c>
      <c r="I1" s="27" t="s">
        <v>27</v>
      </c>
      <c r="J1" s="29" t="s">
        <v>95</v>
      </c>
      <c r="K1" s="44" t="s">
        <v>97</v>
      </c>
      <c r="L1" s="50" t="s">
        <v>99</v>
      </c>
      <c r="M1" s="54" t="s">
        <v>100</v>
      </c>
      <c r="N1" s="25" t="s">
        <v>101</v>
      </c>
      <c r="O1" s="52" t="s">
        <v>102</v>
      </c>
      <c r="P1" t="s">
        <v>119</v>
      </c>
      <c r="Q1" t="s">
        <v>120</v>
      </c>
      <c r="R1" t="s">
        <v>121</v>
      </c>
      <c r="S1" t="s">
        <v>122</v>
      </c>
      <c r="T1" t="s">
        <v>123</v>
      </c>
      <c r="U1" t="s">
        <v>124</v>
      </c>
    </row>
    <row r="2" spans="1:21" ht="14" customHeight="1" thickBot="1" x14ac:dyDescent="0.4">
      <c r="A2" s="2">
        <v>1001</v>
      </c>
      <c r="B2" s="2" t="s">
        <v>6</v>
      </c>
      <c r="C2" s="2">
        <v>61</v>
      </c>
      <c r="D2" s="2">
        <v>48</v>
      </c>
      <c r="E2" s="2">
        <v>76</v>
      </c>
      <c r="F2" s="5">
        <v>43101</v>
      </c>
      <c r="G2" s="58">
        <f t="shared" ref="G2:G21" si="0">AVERAGE(C2:E2)</f>
        <v>61.666666666666664</v>
      </c>
      <c r="H2" s="57" t="str">
        <f>IF(G2&gt;=75,"A",IF(G2&gt;=60,"B",IF(G2&gt;=40,"C","FAIL")))</f>
        <v>B</v>
      </c>
      <c r="I2" s="31">
        <f>(COUNTIFS(D2:D21,"&gt;60",E2:E21,"&gt;60",F2:F21,"&gt;60"))</f>
        <v>6</v>
      </c>
      <c r="J2" s="30" t="str">
        <f>IF(AND(C2&gt;80,D2&gt;80),B2,"-")</f>
        <v>-</v>
      </c>
      <c r="K2" s="45">
        <f>COUNTIF(C2:C21,"&gt;50")</f>
        <v>19</v>
      </c>
      <c r="L2" s="51">
        <f>AVERAGE(C2:E2)</f>
        <v>61.666666666666664</v>
      </c>
      <c r="M2" s="55">
        <f>AVERAGEIF($G$2:$G$21,"&gt;60")</f>
        <v>73.625000000000014</v>
      </c>
      <c r="N2" s="26">
        <v>1007</v>
      </c>
      <c r="O2" s="53" t="str">
        <f>VLOOKUP(N2,A2:B21,2,FALSE)</f>
        <v>Student 7</v>
      </c>
      <c r="P2" s="63">
        <f ca="1">_xlfn.DAYS(TODAY(),F2)</f>
        <v>2961</v>
      </c>
      <c r="Q2">
        <f ca="1">DATEDIF(F2,TODAY(),"Y")</f>
        <v>8</v>
      </c>
      <c r="R2">
        <f>ROUND(G2,0)</f>
        <v>62</v>
      </c>
      <c r="S2">
        <f>CEILING(G2,1)</f>
        <v>62</v>
      </c>
      <c r="T2">
        <f>FLOOR(G2,1)</f>
        <v>61</v>
      </c>
      <c r="U2" t="str">
        <f t="array" ref="U2">IFERROR(INDEX($B$2:$B$21, SMALL(IF($H$2:$H$21="A", ROW($B$2:$B$21)-ROW($B$2)+1), ROW(A1))), "")</f>
        <v>Student 5</v>
      </c>
    </row>
    <row r="3" spans="1:21" ht="14" customHeight="1" thickBot="1" x14ac:dyDescent="0.4">
      <c r="A3" s="3">
        <v>1002</v>
      </c>
      <c r="B3" s="3" t="s">
        <v>7</v>
      </c>
      <c r="C3" s="3">
        <v>78</v>
      </c>
      <c r="D3" s="3">
        <v>76</v>
      </c>
      <c r="E3" s="3">
        <v>70</v>
      </c>
      <c r="F3" s="6">
        <v>43281</v>
      </c>
      <c r="G3" s="59">
        <f t="shared" si="0"/>
        <v>74.666666666666671</v>
      </c>
      <c r="H3" s="57" t="str">
        <f t="shared" ref="H3:H21" si="1">IF(G3&gt;=75,"A",IF(G3&gt;=60,"B",IF(G3&gt;=40,"C","FAIL")))</f>
        <v>B</v>
      </c>
      <c r="I3"/>
      <c r="J3" s="22" t="str">
        <f t="shared" ref="J3:J21" si="2">IF(AND(C3&gt;80,D3&gt;80),B3,"-")</f>
        <v>-</v>
      </c>
      <c r="L3" s="49">
        <f t="shared" ref="L3:L21" si="3">AVERAGE(C3:E3)</f>
        <v>74.666666666666671</v>
      </c>
      <c r="M3" s="46"/>
      <c r="P3" s="62"/>
      <c r="Q3">
        <f t="shared" ref="Q3:Q21" ca="1" si="4">DATEDIF(F3,TODAY(),"Y")</f>
        <v>7</v>
      </c>
      <c r="R3">
        <f t="shared" ref="R3:R21" si="5">ROUND(G3,0)</f>
        <v>75</v>
      </c>
      <c r="S3">
        <f t="shared" ref="S3:S21" si="6">CEILING(G3,1)</f>
        <v>75</v>
      </c>
      <c r="T3">
        <f t="shared" ref="T3:T21" si="7">FLOOR(G3,1)</f>
        <v>74</v>
      </c>
      <c r="U3" t="str">
        <f t="array" ref="U3">IFERROR(INDEX($B$2:$B$21, SMALL(IF($H$2:$H$21="A", ROW($B$2:$B$21)-ROW($B$2)+1), ROW(A2))), "")</f>
        <v>Student 8</v>
      </c>
    </row>
    <row r="4" spans="1:21" ht="14" customHeight="1" thickBot="1" x14ac:dyDescent="0.4">
      <c r="A4" s="2">
        <v>1003</v>
      </c>
      <c r="B4" s="2" t="s">
        <v>8</v>
      </c>
      <c r="C4" s="2">
        <v>97</v>
      </c>
      <c r="D4" s="2">
        <v>60</v>
      </c>
      <c r="E4" s="2">
        <v>51</v>
      </c>
      <c r="F4" s="5">
        <v>43461</v>
      </c>
      <c r="G4" s="58">
        <f t="shared" si="0"/>
        <v>69.333333333333329</v>
      </c>
      <c r="H4" s="57" t="str">
        <f t="shared" si="1"/>
        <v>B</v>
      </c>
      <c r="I4"/>
      <c r="J4" s="30" t="str">
        <f t="shared" si="2"/>
        <v>-</v>
      </c>
      <c r="L4" s="48">
        <f t="shared" si="3"/>
        <v>69.333333333333329</v>
      </c>
      <c r="M4" s="46"/>
      <c r="Q4">
        <f t="shared" ca="1" si="4"/>
        <v>7</v>
      </c>
      <c r="R4">
        <f t="shared" si="5"/>
        <v>69</v>
      </c>
      <c r="S4">
        <f t="shared" si="6"/>
        <v>70</v>
      </c>
      <c r="T4">
        <f t="shared" si="7"/>
        <v>69</v>
      </c>
      <c r="U4" t="str">
        <f t="array" ref="U4">IFERROR(INDEX($B$2:$B$21, SMALL(IF($H$2:$H$21="A", ROW($B$2:$B$21)-ROW($B$2)+1), ROW(A3))), "")</f>
        <v>Student 12</v>
      </c>
    </row>
    <row r="5" spans="1:21" ht="14" customHeight="1" thickBot="1" x14ac:dyDescent="0.4">
      <c r="A5" s="3">
        <v>1004</v>
      </c>
      <c r="B5" s="3" t="s">
        <v>9</v>
      </c>
      <c r="C5" s="3">
        <v>74</v>
      </c>
      <c r="D5" s="3">
        <v>55</v>
      </c>
      <c r="E5" s="3">
        <v>46</v>
      </c>
      <c r="F5" s="6">
        <v>43641</v>
      </c>
      <c r="G5" s="59">
        <f t="shared" si="0"/>
        <v>58.333333333333336</v>
      </c>
      <c r="H5" s="57" t="str">
        <f t="shared" si="1"/>
        <v>C</v>
      </c>
      <c r="I5"/>
      <c r="J5" s="22" t="str">
        <f t="shared" si="2"/>
        <v>-</v>
      </c>
      <c r="L5" s="49">
        <f t="shared" si="3"/>
        <v>58.333333333333336</v>
      </c>
      <c r="M5" s="46"/>
      <c r="Q5">
        <f t="shared" ca="1" si="4"/>
        <v>6</v>
      </c>
      <c r="R5">
        <f t="shared" si="5"/>
        <v>58</v>
      </c>
      <c r="S5">
        <f t="shared" si="6"/>
        <v>59</v>
      </c>
      <c r="T5">
        <f t="shared" si="7"/>
        <v>58</v>
      </c>
      <c r="U5" t="str">
        <f t="array" ref="U5">IFERROR(INDEX($B$2:$B$21, SMALL(IF($H$2:$H$21="A", ROW($B$2:$B$21)-ROW($B$2)+1), ROW(A4))), "")</f>
        <v>Student 13</v>
      </c>
    </row>
    <row r="6" spans="1:21" ht="14" customHeight="1" thickBot="1" x14ac:dyDescent="0.4">
      <c r="A6" s="2">
        <v>1005</v>
      </c>
      <c r="B6" s="2" t="s">
        <v>10</v>
      </c>
      <c r="C6" s="2">
        <v>68</v>
      </c>
      <c r="D6" s="2">
        <v>74</v>
      </c>
      <c r="E6" s="2">
        <v>84</v>
      </c>
      <c r="F6" s="5">
        <v>43821</v>
      </c>
      <c r="G6" s="58">
        <f t="shared" si="0"/>
        <v>75.333333333333329</v>
      </c>
      <c r="H6" s="57" t="str">
        <f t="shared" si="1"/>
        <v>A</v>
      </c>
      <c r="I6"/>
      <c r="J6" s="30" t="str">
        <f t="shared" si="2"/>
        <v>-</v>
      </c>
      <c r="L6" s="48">
        <f t="shared" si="3"/>
        <v>75.333333333333329</v>
      </c>
      <c r="M6" s="46"/>
      <c r="Q6">
        <f t="shared" ca="1" si="4"/>
        <v>6</v>
      </c>
      <c r="R6">
        <f t="shared" si="5"/>
        <v>75</v>
      </c>
      <c r="S6">
        <f t="shared" si="6"/>
        <v>76</v>
      </c>
      <c r="T6">
        <f t="shared" si="7"/>
        <v>75</v>
      </c>
      <c r="U6" t="str">
        <f t="array" ref="U6">IFERROR(INDEX($B$2:$B$21, SMALL(IF($H$2:$H$21="A", ROW($B$2:$B$21)-ROW($B$2)+1), ROW(A5))), "")</f>
        <v>Student 16</v>
      </c>
    </row>
    <row r="7" spans="1:21" ht="14" customHeight="1" thickBot="1" x14ac:dyDescent="0.4">
      <c r="A7" s="3">
        <v>1006</v>
      </c>
      <c r="B7" s="3" t="s">
        <v>11</v>
      </c>
      <c r="C7" s="3">
        <v>80</v>
      </c>
      <c r="D7" s="3">
        <v>70</v>
      </c>
      <c r="E7" s="3">
        <v>65</v>
      </c>
      <c r="F7" s="6">
        <v>44001</v>
      </c>
      <c r="G7" s="59">
        <f t="shared" si="0"/>
        <v>71.666666666666671</v>
      </c>
      <c r="H7" s="57" t="str">
        <f t="shared" si="1"/>
        <v>B</v>
      </c>
      <c r="I7"/>
      <c r="J7" s="22" t="str">
        <f t="shared" si="2"/>
        <v>-</v>
      </c>
      <c r="L7" s="49">
        <f t="shared" si="3"/>
        <v>71.666666666666671</v>
      </c>
      <c r="M7" s="46"/>
      <c r="Q7">
        <f t="shared" ca="1" si="4"/>
        <v>5</v>
      </c>
      <c r="R7">
        <f t="shared" si="5"/>
        <v>72</v>
      </c>
      <c r="S7">
        <f t="shared" si="6"/>
        <v>72</v>
      </c>
      <c r="T7">
        <f t="shared" si="7"/>
        <v>71</v>
      </c>
      <c r="U7" t="str">
        <f t="array" ref="U7">IFERROR(INDEX($B$2:$B$21, SMALL(IF($H$2:$H$21="A", ROW($B$2:$B$21)-ROW($B$2)+1), ROW(A6))), "")</f>
        <v>Student 19</v>
      </c>
    </row>
    <row r="8" spans="1:21" ht="14" customHeight="1" thickBot="1" x14ac:dyDescent="0.4">
      <c r="A8" s="2">
        <v>1007</v>
      </c>
      <c r="B8" s="2" t="s">
        <v>12</v>
      </c>
      <c r="C8" s="2">
        <v>75</v>
      </c>
      <c r="D8" s="2">
        <v>47</v>
      </c>
      <c r="E8" s="2">
        <v>78</v>
      </c>
      <c r="F8" s="5">
        <v>44181</v>
      </c>
      <c r="G8" s="58">
        <f t="shared" si="0"/>
        <v>66.666666666666671</v>
      </c>
      <c r="H8" s="57" t="str">
        <f t="shared" si="1"/>
        <v>B</v>
      </c>
      <c r="I8"/>
      <c r="J8" s="30" t="str">
        <f t="shared" si="2"/>
        <v>-</v>
      </c>
      <c r="L8" s="48">
        <f t="shared" si="3"/>
        <v>66.666666666666671</v>
      </c>
      <c r="M8" s="46"/>
      <c r="Q8">
        <f t="shared" ca="1" si="4"/>
        <v>5</v>
      </c>
      <c r="R8">
        <f t="shared" si="5"/>
        <v>67</v>
      </c>
      <c r="S8">
        <f t="shared" si="6"/>
        <v>67</v>
      </c>
      <c r="T8">
        <f t="shared" si="7"/>
        <v>66</v>
      </c>
      <c r="U8" t="str">
        <f t="array" ref="U8">IFERROR(INDEX($B$2:$B$21, SMALL(IF($H$2:$H$21="A", ROW($B$2:$B$21)-ROW($B$2)+1), ROW(A7))), "")</f>
        <v>Student 20</v>
      </c>
    </row>
    <row r="9" spans="1:21" ht="14" customHeight="1" thickBot="1" x14ac:dyDescent="0.4">
      <c r="A9" s="3">
        <v>1008</v>
      </c>
      <c r="B9" s="3" t="s">
        <v>13</v>
      </c>
      <c r="C9" s="3">
        <v>94</v>
      </c>
      <c r="D9" s="3">
        <v>67</v>
      </c>
      <c r="E9" s="3">
        <v>64</v>
      </c>
      <c r="F9" s="6">
        <v>44361</v>
      </c>
      <c r="G9" s="59">
        <f t="shared" si="0"/>
        <v>75</v>
      </c>
      <c r="H9" s="57" t="str">
        <f t="shared" si="1"/>
        <v>A</v>
      </c>
      <c r="I9"/>
      <c r="J9" s="22" t="str">
        <f t="shared" si="2"/>
        <v>-</v>
      </c>
      <c r="L9" s="49">
        <f t="shared" si="3"/>
        <v>75</v>
      </c>
      <c r="M9" s="46"/>
      <c r="Q9">
        <f t="shared" ca="1" si="4"/>
        <v>4</v>
      </c>
      <c r="R9">
        <f t="shared" si="5"/>
        <v>75</v>
      </c>
      <c r="S9">
        <f t="shared" si="6"/>
        <v>75</v>
      </c>
      <c r="T9">
        <f t="shared" si="7"/>
        <v>75</v>
      </c>
      <c r="U9" t="str">
        <f t="array" ref="U9">IFERROR(INDEX($B$2:$B$21, SMALL(IF($H$2:$H$21="A", ROW($B$2:$B$21)-ROW($B$2)+1), ROW(A8))), "")</f>
        <v/>
      </c>
    </row>
    <row r="10" spans="1:21" ht="14" customHeight="1" thickBot="1" x14ac:dyDescent="0.4">
      <c r="A10" s="2">
        <v>1009</v>
      </c>
      <c r="B10" s="2" t="s">
        <v>14</v>
      </c>
      <c r="C10" s="2">
        <v>41</v>
      </c>
      <c r="D10" s="2">
        <v>75</v>
      </c>
      <c r="E10" s="2">
        <v>56</v>
      </c>
      <c r="F10" s="5">
        <v>44541</v>
      </c>
      <c r="G10" s="58">
        <f t="shared" si="0"/>
        <v>57.333333333333336</v>
      </c>
      <c r="H10" s="57" t="str">
        <f t="shared" si="1"/>
        <v>C</v>
      </c>
      <c r="I10"/>
      <c r="J10" s="30" t="str">
        <f t="shared" si="2"/>
        <v>-</v>
      </c>
      <c r="L10" s="48">
        <f t="shared" si="3"/>
        <v>57.333333333333336</v>
      </c>
      <c r="M10" s="46"/>
      <c r="Q10">
        <f t="shared" ca="1" si="4"/>
        <v>4</v>
      </c>
      <c r="R10">
        <f t="shared" si="5"/>
        <v>57</v>
      </c>
      <c r="S10">
        <f t="shared" si="6"/>
        <v>58</v>
      </c>
      <c r="T10">
        <f t="shared" si="7"/>
        <v>57</v>
      </c>
      <c r="U10" t="str">
        <f t="array" ref="U10">IFERROR(INDEX($B$2:$B$21, SMALL(IF($H$2:$H$21="A", ROW($B$2:$B$21)-ROW($B$2)+1), ROW(A9))), "")</f>
        <v/>
      </c>
    </row>
    <row r="11" spans="1:21" ht="14" customHeight="1" thickBot="1" x14ac:dyDescent="0.4">
      <c r="A11" s="3">
        <v>1010</v>
      </c>
      <c r="B11" s="3" t="s">
        <v>15</v>
      </c>
      <c r="C11" s="3">
        <v>98</v>
      </c>
      <c r="D11" s="3">
        <v>54</v>
      </c>
      <c r="E11" s="3">
        <v>58</v>
      </c>
      <c r="F11" s="6">
        <v>44721</v>
      </c>
      <c r="G11" s="59">
        <f t="shared" si="0"/>
        <v>70</v>
      </c>
      <c r="H11" s="57" t="str">
        <f t="shared" si="1"/>
        <v>B</v>
      </c>
      <c r="I11"/>
      <c r="J11" s="22" t="str">
        <f t="shared" si="2"/>
        <v>-</v>
      </c>
      <c r="L11" s="49">
        <f t="shared" si="3"/>
        <v>70</v>
      </c>
      <c r="M11" s="46"/>
      <c r="Q11">
        <f t="shared" ca="1" si="4"/>
        <v>3</v>
      </c>
      <c r="R11">
        <f t="shared" si="5"/>
        <v>70</v>
      </c>
      <c r="S11">
        <f t="shared" si="6"/>
        <v>70</v>
      </c>
      <c r="T11">
        <f t="shared" si="7"/>
        <v>70</v>
      </c>
      <c r="U11" t="str">
        <f t="array" ref="U11">IFERROR(INDEX($B$2:$B$21, SMALL(IF($H$2:$H$21="A", ROW($B$2:$B$21)-ROW($B$2)+1), ROW(A10))), "")</f>
        <v/>
      </c>
    </row>
    <row r="12" spans="1:21" ht="14" customHeight="1" thickBot="1" x14ac:dyDescent="0.4">
      <c r="A12" s="2">
        <v>1011</v>
      </c>
      <c r="B12" s="2" t="s">
        <v>16</v>
      </c>
      <c r="C12" s="2">
        <v>73</v>
      </c>
      <c r="D12" s="2">
        <v>79</v>
      </c>
      <c r="E12" s="2">
        <v>53</v>
      </c>
      <c r="F12" s="5">
        <v>44901</v>
      </c>
      <c r="G12" s="58">
        <f t="shared" si="0"/>
        <v>68.333333333333329</v>
      </c>
      <c r="H12" s="57" t="str">
        <f t="shared" si="1"/>
        <v>B</v>
      </c>
      <c r="I12"/>
      <c r="J12" s="30" t="str">
        <f t="shared" si="2"/>
        <v>-</v>
      </c>
      <c r="L12" s="48">
        <f t="shared" si="3"/>
        <v>68.333333333333329</v>
      </c>
      <c r="M12" s="46"/>
      <c r="Q12">
        <f t="shared" ca="1" si="4"/>
        <v>3</v>
      </c>
      <c r="R12">
        <f t="shared" si="5"/>
        <v>68</v>
      </c>
      <c r="S12">
        <f t="shared" si="6"/>
        <v>69</v>
      </c>
      <c r="T12">
        <f t="shared" si="7"/>
        <v>68</v>
      </c>
      <c r="U12" t="str">
        <f t="array" ref="U12">IFERROR(INDEX($B$2:$B$21, SMALL(IF($H$2:$H$21="A", ROW($B$2:$B$21)-ROW($B$2)+1), ROW(A11))), "")</f>
        <v/>
      </c>
    </row>
    <row r="13" spans="1:21" ht="14" customHeight="1" thickBot="1" x14ac:dyDescent="0.4">
      <c r="A13" s="3">
        <v>1012</v>
      </c>
      <c r="B13" s="3" t="s">
        <v>17</v>
      </c>
      <c r="C13" s="3">
        <v>85</v>
      </c>
      <c r="D13" s="3">
        <v>89</v>
      </c>
      <c r="E13" s="3">
        <v>79</v>
      </c>
      <c r="F13" s="6">
        <v>45081</v>
      </c>
      <c r="G13" s="59">
        <f t="shared" si="0"/>
        <v>84.333333333333329</v>
      </c>
      <c r="H13" s="57" t="str">
        <f t="shared" si="1"/>
        <v>A</v>
      </c>
      <c r="I13"/>
      <c r="J13" s="22" t="str">
        <f t="shared" si="2"/>
        <v>Student 12</v>
      </c>
      <c r="L13" s="49">
        <f t="shared" si="3"/>
        <v>84.333333333333329</v>
      </c>
      <c r="M13" s="46"/>
      <c r="Q13">
        <f t="shared" ca="1" si="4"/>
        <v>2</v>
      </c>
      <c r="R13">
        <f t="shared" si="5"/>
        <v>84</v>
      </c>
      <c r="S13">
        <f t="shared" si="6"/>
        <v>85</v>
      </c>
      <c r="T13">
        <f t="shared" si="7"/>
        <v>84</v>
      </c>
      <c r="U13" t="str">
        <f t="array" ref="U13">IFERROR(INDEX($B$2:$B$21, SMALL(IF($H$2:$H$21="A", ROW($B$2:$B$21)-ROW($B$2)+1), ROW(A12))), "")</f>
        <v/>
      </c>
    </row>
    <row r="14" spans="1:21" ht="14" customHeight="1" thickBot="1" x14ac:dyDescent="0.4">
      <c r="A14" s="2">
        <v>1013</v>
      </c>
      <c r="B14" s="2" t="s">
        <v>18</v>
      </c>
      <c r="C14" s="2">
        <v>98</v>
      </c>
      <c r="D14" s="2">
        <v>90</v>
      </c>
      <c r="E14" s="2">
        <v>97</v>
      </c>
      <c r="F14" s="5">
        <v>45261</v>
      </c>
      <c r="G14" s="58">
        <f t="shared" si="0"/>
        <v>95</v>
      </c>
      <c r="H14" s="57" t="str">
        <f t="shared" si="1"/>
        <v>A</v>
      </c>
      <c r="I14"/>
      <c r="J14" s="30" t="str">
        <f t="shared" si="2"/>
        <v>Student 13</v>
      </c>
      <c r="L14" s="48">
        <f t="shared" si="3"/>
        <v>95</v>
      </c>
      <c r="M14" s="46"/>
      <c r="Q14">
        <f t="shared" ca="1" si="4"/>
        <v>2</v>
      </c>
      <c r="R14">
        <f t="shared" si="5"/>
        <v>95</v>
      </c>
      <c r="S14">
        <f t="shared" si="6"/>
        <v>95</v>
      </c>
      <c r="T14">
        <f t="shared" si="7"/>
        <v>95</v>
      </c>
      <c r="U14" t="str">
        <f t="array" ref="U14">IFERROR(INDEX($B$2:$B$21, SMALL(IF($H$2:$H$21="A", ROW($B$2:$B$21)-ROW($B$2)+1), ROW(A13))), "")</f>
        <v/>
      </c>
    </row>
    <row r="15" spans="1:21" ht="14" customHeight="1" thickBot="1" x14ac:dyDescent="0.4">
      <c r="A15" s="3">
        <v>1014</v>
      </c>
      <c r="B15" s="3" t="s">
        <v>19</v>
      </c>
      <c r="C15" s="3">
        <v>93</v>
      </c>
      <c r="D15" s="3">
        <v>40</v>
      </c>
      <c r="E15" s="3">
        <v>44</v>
      </c>
      <c r="F15" s="6">
        <v>45441</v>
      </c>
      <c r="G15" s="59">
        <f t="shared" si="0"/>
        <v>59</v>
      </c>
      <c r="H15" s="57" t="str">
        <f t="shared" si="1"/>
        <v>C</v>
      </c>
      <c r="I15"/>
      <c r="J15" s="22" t="str">
        <f t="shared" si="2"/>
        <v>-</v>
      </c>
      <c r="L15" s="49">
        <f t="shared" si="3"/>
        <v>59</v>
      </c>
      <c r="M15" s="46"/>
      <c r="Q15">
        <f t="shared" ca="1" si="4"/>
        <v>1</v>
      </c>
      <c r="R15">
        <f t="shared" si="5"/>
        <v>59</v>
      </c>
      <c r="S15">
        <f t="shared" si="6"/>
        <v>59</v>
      </c>
      <c r="T15">
        <f t="shared" si="7"/>
        <v>59</v>
      </c>
      <c r="U15" t="str">
        <f t="array" ref="U15">IFERROR(INDEX($B$2:$B$21, SMALL(IF($H$2:$H$21="A", ROW($B$2:$B$21)-ROW($B$2)+1), ROW(A14))), "")</f>
        <v/>
      </c>
    </row>
    <row r="16" spans="1:21" ht="14" customHeight="1" thickBot="1" x14ac:dyDescent="0.4">
      <c r="A16" s="2">
        <v>1015</v>
      </c>
      <c r="B16" s="2" t="s">
        <v>20</v>
      </c>
      <c r="C16" s="2">
        <v>70</v>
      </c>
      <c r="D16" s="2">
        <v>51</v>
      </c>
      <c r="E16" s="2">
        <v>75</v>
      </c>
      <c r="F16" s="5">
        <v>45621</v>
      </c>
      <c r="G16" s="58">
        <f t="shared" si="0"/>
        <v>65.333333333333329</v>
      </c>
      <c r="H16" s="57" t="str">
        <f t="shared" si="1"/>
        <v>B</v>
      </c>
      <c r="I16"/>
      <c r="J16" s="30" t="str">
        <f t="shared" si="2"/>
        <v>-</v>
      </c>
      <c r="L16" s="48">
        <f t="shared" si="3"/>
        <v>65.333333333333329</v>
      </c>
      <c r="M16" s="46"/>
      <c r="Q16">
        <f t="shared" ca="1" si="4"/>
        <v>1</v>
      </c>
      <c r="R16">
        <f t="shared" si="5"/>
        <v>65</v>
      </c>
      <c r="S16">
        <f t="shared" si="6"/>
        <v>66</v>
      </c>
      <c r="T16">
        <f t="shared" si="7"/>
        <v>65</v>
      </c>
      <c r="U16" t="str">
        <f t="array" ref="U16">IFERROR(INDEX($B$2:$B$21, SMALL(IF($H$2:$H$21="A", ROW($B$2:$B$21)-ROW($B$2)+1), ROW(A15))), "")</f>
        <v/>
      </c>
    </row>
    <row r="17" spans="1:21" ht="14" customHeight="1" thickBot="1" x14ac:dyDescent="0.4">
      <c r="A17" s="3">
        <v>1016</v>
      </c>
      <c r="B17" s="3" t="s">
        <v>21</v>
      </c>
      <c r="C17" s="3">
        <v>98</v>
      </c>
      <c r="D17" s="3">
        <v>77</v>
      </c>
      <c r="E17" s="3">
        <v>60</v>
      </c>
      <c r="F17" s="6">
        <v>45801</v>
      </c>
      <c r="G17" s="59">
        <f t="shared" si="0"/>
        <v>78.333333333333329</v>
      </c>
      <c r="H17" s="57" t="str">
        <f t="shared" si="1"/>
        <v>A</v>
      </c>
      <c r="I17"/>
      <c r="J17" s="22" t="str">
        <f t="shared" si="2"/>
        <v>-</v>
      </c>
      <c r="L17" s="49">
        <f t="shared" si="3"/>
        <v>78.333333333333329</v>
      </c>
      <c r="M17" s="46"/>
      <c r="Q17">
        <f t="shared" ca="1" si="4"/>
        <v>0</v>
      </c>
      <c r="R17">
        <f t="shared" si="5"/>
        <v>78</v>
      </c>
      <c r="S17">
        <f t="shared" si="6"/>
        <v>79</v>
      </c>
      <c r="T17">
        <f t="shared" si="7"/>
        <v>78</v>
      </c>
      <c r="U17" t="str">
        <f t="array" ref="U17">IFERROR(INDEX($B$2:$B$21, SMALL(IF($H$2:$H$21="A", ROW($B$2:$B$21)-ROW($B$2)+1), ROW(A16))), "")</f>
        <v/>
      </c>
    </row>
    <row r="18" spans="1:21" ht="14" customHeight="1" thickBot="1" x14ac:dyDescent="0.4">
      <c r="A18" s="2">
        <v>1017</v>
      </c>
      <c r="B18" s="2" t="s">
        <v>22</v>
      </c>
      <c r="C18" s="2">
        <v>66</v>
      </c>
      <c r="D18" s="2">
        <v>59</v>
      </c>
      <c r="E18" s="2">
        <v>40</v>
      </c>
      <c r="F18" s="5">
        <v>45981</v>
      </c>
      <c r="G18" s="58">
        <f t="shared" si="0"/>
        <v>55</v>
      </c>
      <c r="H18" s="57" t="str">
        <f t="shared" si="1"/>
        <v>C</v>
      </c>
      <c r="I18"/>
      <c r="J18" s="30" t="str">
        <f t="shared" si="2"/>
        <v>-</v>
      </c>
      <c r="L18" s="48">
        <f t="shared" si="3"/>
        <v>55</v>
      </c>
      <c r="M18" s="46"/>
      <c r="Q18">
        <f t="shared" ca="1" si="4"/>
        <v>0</v>
      </c>
      <c r="R18">
        <f t="shared" si="5"/>
        <v>55</v>
      </c>
      <c r="S18">
        <f t="shared" si="6"/>
        <v>55</v>
      </c>
      <c r="T18">
        <f t="shared" si="7"/>
        <v>55</v>
      </c>
      <c r="U18" t="str">
        <f t="array" ref="U18">IFERROR(INDEX($B$2:$B$21, SMALL(IF($H$2:$H$21="A", ROW($B$2:$B$21)-ROW($B$2)+1), ROW(A17))), "")</f>
        <v/>
      </c>
    </row>
    <row r="19" spans="1:21" ht="14" customHeight="1" thickBot="1" x14ac:dyDescent="0.4">
      <c r="A19" s="3">
        <v>1018</v>
      </c>
      <c r="B19" s="3" t="s">
        <v>23</v>
      </c>
      <c r="C19" s="3">
        <v>82</v>
      </c>
      <c r="D19" s="3">
        <v>48</v>
      </c>
      <c r="E19" s="3">
        <v>79</v>
      </c>
      <c r="F19" s="6">
        <v>46161</v>
      </c>
      <c r="G19" s="59">
        <f t="shared" si="0"/>
        <v>69.666666666666671</v>
      </c>
      <c r="H19" s="57" t="str">
        <f t="shared" si="1"/>
        <v>B</v>
      </c>
      <c r="I19"/>
      <c r="J19" s="22" t="str">
        <f t="shared" si="2"/>
        <v>-</v>
      </c>
      <c r="L19" s="49">
        <f t="shared" si="3"/>
        <v>69.666666666666671</v>
      </c>
      <c r="M19" s="46"/>
      <c r="Q19" t="e">
        <f t="shared" ca="1" si="4"/>
        <v>#NUM!</v>
      </c>
      <c r="R19">
        <f t="shared" si="5"/>
        <v>70</v>
      </c>
      <c r="S19">
        <f t="shared" si="6"/>
        <v>70</v>
      </c>
      <c r="T19">
        <f t="shared" si="7"/>
        <v>69</v>
      </c>
      <c r="U19" t="str">
        <f t="array" ref="U19">IFERROR(INDEX($B$2:$B$21, SMALL(IF($H$2:$H$21="A", ROW($B$2:$B$21)-ROW($B$2)+1), ROW(A18))), "")</f>
        <v/>
      </c>
    </row>
    <row r="20" spans="1:21" ht="14" customHeight="1" thickBot="1" x14ac:dyDescent="0.4">
      <c r="A20" s="2">
        <v>1019</v>
      </c>
      <c r="B20" s="2" t="s">
        <v>24</v>
      </c>
      <c r="C20" s="2">
        <v>90</v>
      </c>
      <c r="D20" s="2">
        <v>78</v>
      </c>
      <c r="E20" s="2">
        <v>60</v>
      </c>
      <c r="F20" s="5">
        <v>46341</v>
      </c>
      <c r="G20" s="58">
        <f t="shared" si="0"/>
        <v>76</v>
      </c>
      <c r="H20" s="57" t="str">
        <f t="shared" si="1"/>
        <v>A</v>
      </c>
      <c r="I20"/>
      <c r="J20" s="30" t="str">
        <f t="shared" si="2"/>
        <v>-</v>
      </c>
      <c r="L20" s="48">
        <f t="shared" si="3"/>
        <v>76</v>
      </c>
      <c r="M20" s="46"/>
      <c r="Q20" t="e">
        <f t="shared" ca="1" si="4"/>
        <v>#NUM!</v>
      </c>
      <c r="R20">
        <f t="shared" si="5"/>
        <v>76</v>
      </c>
      <c r="S20">
        <f t="shared" si="6"/>
        <v>76</v>
      </c>
      <c r="T20">
        <f t="shared" si="7"/>
        <v>76</v>
      </c>
      <c r="U20" t="str">
        <f t="array" ref="U20">IFERROR(INDEX($B$2:$B$21, SMALL(IF($H$2:$H$21="A", ROW($B$2:$B$21)-ROW($B$2)+1), ROW(A19))), "")</f>
        <v/>
      </c>
    </row>
    <row r="21" spans="1:21" ht="14" customHeight="1" thickBot="1" x14ac:dyDescent="0.4">
      <c r="A21" s="4">
        <v>1020</v>
      </c>
      <c r="B21" s="4" t="s">
        <v>25</v>
      </c>
      <c r="C21" s="4">
        <v>83</v>
      </c>
      <c r="D21" s="4">
        <v>92</v>
      </c>
      <c r="E21" s="4">
        <v>55</v>
      </c>
      <c r="F21" s="7">
        <v>46521</v>
      </c>
      <c r="G21" s="60">
        <f t="shared" si="0"/>
        <v>76.666666666666671</v>
      </c>
      <c r="H21" s="57" t="str">
        <f t="shared" si="1"/>
        <v>A</v>
      </c>
      <c r="I21"/>
      <c r="J21" s="22" t="str">
        <f t="shared" si="2"/>
        <v>Student 20</v>
      </c>
      <c r="L21" s="47">
        <f t="shared" si="3"/>
        <v>76.666666666666671</v>
      </c>
      <c r="M21" s="46"/>
      <c r="Q21" t="e">
        <f t="shared" ca="1" si="4"/>
        <v>#NUM!</v>
      </c>
      <c r="R21">
        <f t="shared" si="5"/>
        <v>77</v>
      </c>
      <c r="S21">
        <f t="shared" si="6"/>
        <v>77</v>
      </c>
      <c r="T21">
        <f t="shared" si="7"/>
        <v>76</v>
      </c>
      <c r="U21" t="str">
        <f t="array" ref="U21">IFERROR(INDEX($B$2:$B$21, SMALL(IF($H$2:$H$21="A", ROW($B$2:$B$21)-ROW($B$2)+1), ROW(A20))), "")</f>
        <v/>
      </c>
    </row>
  </sheetData>
  <pageMargins left="0.7" right="0.7" top="0.75" bottom="0.75" header="0.3" footer="0.3"/>
  <pageSetup paperSize="9" orientation="portrait" horizontalDpi="300" verticalDpi="0" r:id="rId1"/>
  <ignoredErrors>
    <ignoredError sqref="G2:G21 L2:L2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zoomScale="55" zoomScaleNormal="55" workbookViewId="0">
      <selection activeCell="K2" sqref="K2"/>
    </sheetView>
  </sheetViews>
  <sheetFormatPr defaultColWidth="13.453125" defaultRowHeight="20" customHeight="1" x14ac:dyDescent="0.35"/>
  <cols>
    <col min="1" max="1" width="11.36328125" customWidth="1"/>
    <col min="2" max="2" width="12.26953125" customWidth="1"/>
    <col min="3" max="3" width="11.26953125" customWidth="1"/>
    <col min="4" max="4" width="12.90625" customWidth="1"/>
    <col min="5" max="5" width="11.453125" customWidth="1"/>
    <col min="6" max="6" width="19.36328125" customWidth="1"/>
    <col min="11" max="11" width="15.1796875" customWidth="1"/>
    <col min="12" max="12" width="18" customWidth="1"/>
    <col min="13" max="13" width="20.453125" customWidth="1"/>
    <col min="14" max="14" width="20.7265625" customWidth="1"/>
    <col min="16" max="16" width="11.6328125" customWidth="1"/>
    <col min="17" max="17" width="9.90625" customWidth="1"/>
    <col min="20" max="20" width="1.90625" customWidth="1"/>
  </cols>
  <sheetData>
    <row r="1" spans="1:21" ht="20" customHeight="1" thickBot="1" x14ac:dyDescent="0.4">
      <c r="A1" s="17" t="s">
        <v>28</v>
      </c>
      <c r="B1" s="17" t="s">
        <v>29</v>
      </c>
      <c r="C1" s="17" t="s">
        <v>30</v>
      </c>
      <c r="D1" s="17" t="s">
        <v>31</v>
      </c>
      <c r="E1" s="17" t="s">
        <v>32</v>
      </c>
      <c r="F1" s="17" t="s">
        <v>33</v>
      </c>
      <c r="G1" s="10" t="s">
        <v>64</v>
      </c>
      <c r="H1" s="9" t="s">
        <v>63</v>
      </c>
      <c r="I1" s="39" t="s">
        <v>94</v>
      </c>
      <c r="J1" s="27" t="s">
        <v>96</v>
      </c>
      <c r="K1" s="29" t="s">
        <v>98</v>
      </c>
      <c r="L1" s="35" t="s">
        <v>103</v>
      </c>
      <c r="M1" s="37" t="s">
        <v>104</v>
      </c>
      <c r="N1" s="23" t="s">
        <v>105</v>
      </c>
      <c r="O1" s="23" t="s">
        <v>32</v>
      </c>
      <c r="P1" t="s">
        <v>113</v>
      </c>
      <c r="Q1" t="s">
        <v>115</v>
      </c>
      <c r="R1" t="s">
        <v>116</v>
      </c>
      <c r="S1" t="s">
        <v>117</v>
      </c>
      <c r="U1" t="s">
        <v>118</v>
      </c>
    </row>
    <row r="2" spans="1:21" ht="20" customHeight="1" thickBot="1" x14ac:dyDescent="0.4">
      <c r="A2" s="15">
        <v>2001</v>
      </c>
      <c r="B2" s="15" t="s">
        <v>34</v>
      </c>
      <c r="C2" s="15" t="s">
        <v>35</v>
      </c>
      <c r="D2" s="15" t="s">
        <v>36</v>
      </c>
      <c r="E2" s="15">
        <v>7048</v>
      </c>
      <c r="F2" s="18">
        <v>44927</v>
      </c>
      <c r="G2" s="41" t="s">
        <v>34</v>
      </c>
      <c r="H2" s="24">
        <f>VLOOKUP($G$2,$B$2:$E$21,4,FALSE)</f>
        <v>7048</v>
      </c>
      <c r="I2" s="40">
        <f>IF(E2&gt;1000,E2*10%,FALSE)</f>
        <v>704.80000000000007</v>
      </c>
      <c r="J2" s="28" t="str">
        <f>IF(OR(C2="South",E2&gt;10000),"Eligible","Not Discount")</f>
        <v>Eligible</v>
      </c>
      <c r="K2" s="34">
        <f>SUMIFS(E2:E21,C2:C21,"North",B2:B21,"Monitor")</f>
        <v>77482</v>
      </c>
      <c r="L2" s="36">
        <v>2004</v>
      </c>
      <c r="M2" s="38" t="str">
        <f>VLOOKUP(L2,A2:E21,4,FALSE)</f>
        <v>Person 4</v>
      </c>
      <c r="N2" s="24" t="s">
        <v>48</v>
      </c>
      <c r="O2" s="24">
        <f>VLOOKUP(N2,D2:E21,2,FALSE)</f>
        <v>46429</v>
      </c>
      <c r="P2" t="s">
        <v>58</v>
      </c>
      <c r="Q2">
        <f>VLOOKUP(P2, D2:E21, 2, 0)</f>
        <v>5277</v>
      </c>
      <c r="R2" t="s">
        <v>34</v>
      </c>
      <c r="S2">
        <f>MATCH(R2,B2:B21,0)</f>
        <v>1</v>
      </c>
      <c r="U2" t="str">
        <f ca="1">OFFSET(A2,4,1)</f>
        <v>Keyboard</v>
      </c>
    </row>
    <row r="3" spans="1:21" ht="20" customHeight="1" thickBot="1" x14ac:dyDescent="0.4">
      <c r="A3" s="11">
        <v>2002</v>
      </c>
      <c r="B3" s="11" t="s">
        <v>37</v>
      </c>
      <c r="C3" s="11" t="s">
        <v>38</v>
      </c>
      <c r="D3" s="11" t="s">
        <v>39</v>
      </c>
      <c r="E3" s="11">
        <v>17428</v>
      </c>
      <c r="F3" s="12">
        <v>44942</v>
      </c>
      <c r="I3" s="33">
        <f t="shared" ref="I3:I21" si="0">IF(E3&gt;1000,E3*10%,FALSE)</f>
        <v>1742.8000000000002</v>
      </c>
      <c r="J3" s="31" t="str">
        <f t="shared" ref="J3:J21" si="1">IF(OR(C3="South",E3&gt;10000),"Eligible","Not Discount")</f>
        <v>Eligible</v>
      </c>
    </row>
    <row r="4" spans="1:21" ht="20" customHeight="1" thickBot="1" x14ac:dyDescent="0.4">
      <c r="A4" s="15">
        <v>2003</v>
      </c>
      <c r="B4" s="15" t="s">
        <v>40</v>
      </c>
      <c r="C4" s="15" t="s">
        <v>35</v>
      </c>
      <c r="D4" s="15" t="s">
        <v>41</v>
      </c>
      <c r="E4" s="15">
        <v>23672</v>
      </c>
      <c r="F4" s="16">
        <v>44957</v>
      </c>
      <c r="I4" s="32">
        <f t="shared" si="0"/>
        <v>2367.2000000000003</v>
      </c>
      <c r="J4" s="28" t="str">
        <f t="shared" si="1"/>
        <v>Eligible</v>
      </c>
    </row>
    <row r="5" spans="1:21" ht="20" customHeight="1" thickBot="1" x14ac:dyDescent="0.4">
      <c r="A5" s="11">
        <v>2004</v>
      </c>
      <c r="B5" s="11" t="s">
        <v>37</v>
      </c>
      <c r="C5" s="11" t="s">
        <v>42</v>
      </c>
      <c r="D5" s="11" t="s">
        <v>43</v>
      </c>
      <c r="E5" s="11">
        <v>5264</v>
      </c>
      <c r="F5" s="12">
        <v>44972</v>
      </c>
      <c r="I5" s="33">
        <f t="shared" si="0"/>
        <v>526.4</v>
      </c>
      <c r="J5" s="31" t="str">
        <f t="shared" si="1"/>
        <v>Not Discount</v>
      </c>
    </row>
    <row r="6" spans="1:21" ht="20" customHeight="1" thickBot="1" x14ac:dyDescent="0.4">
      <c r="A6" s="15">
        <v>2005</v>
      </c>
      <c r="B6" s="15" t="s">
        <v>34</v>
      </c>
      <c r="C6" s="15" t="s">
        <v>44</v>
      </c>
      <c r="D6" s="15" t="s">
        <v>45</v>
      </c>
      <c r="E6" s="15">
        <v>43388</v>
      </c>
      <c r="F6" s="16">
        <v>44987</v>
      </c>
      <c r="I6" s="32">
        <f t="shared" si="0"/>
        <v>4338.8</v>
      </c>
      <c r="J6" s="42" t="str">
        <f t="shared" si="1"/>
        <v>Eligible</v>
      </c>
      <c r="K6" s="43"/>
    </row>
    <row r="7" spans="1:21" ht="20" customHeight="1" thickBot="1" x14ac:dyDescent="0.4">
      <c r="A7" s="11">
        <v>2006</v>
      </c>
      <c r="B7" s="11" t="s">
        <v>40</v>
      </c>
      <c r="C7" s="11" t="s">
        <v>44</v>
      </c>
      <c r="D7" s="11" t="s">
        <v>46</v>
      </c>
      <c r="E7" s="11">
        <v>19757</v>
      </c>
      <c r="F7" s="12">
        <v>45002</v>
      </c>
      <c r="I7" s="33">
        <f t="shared" si="0"/>
        <v>1975.7</v>
      </c>
      <c r="J7" s="31" t="str">
        <f t="shared" si="1"/>
        <v>Eligible</v>
      </c>
    </row>
    <row r="8" spans="1:21" ht="20" customHeight="1" thickBot="1" x14ac:dyDescent="0.4">
      <c r="A8" s="15">
        <v>2007</v>
      </c>
      <c r="B8" s="15" t="s">
        <v>40</v>
      </c>
      <c r="C8" s="15" t="s">
        <v>42</v>
      </c>
      <c r="D8" s="15" t="s">
        <v>47</v>
      </c>
      <c r="E8" s="15">
        <v>32058</v>
      </c>
      <c r="F8" s="16">
        <v>45017</v>
      </c>
      <c r="I8" s="32">
        <f t="shared" si="0"/>
        <v>3205.8</v>
      </c>
      <c r="J8" s="28" t="str">
        <f t="shared" si="1"/>
        <v>Eligible</v>
      </c>
    </row>
    <row r="9" spans="1:21" ht="20" customHeight="1" thickBot="1" x14ac:dyDescent="0.4">
      <c r="A9" s="11">
        <v>2008</v>
      </c>
      <c r="B9" s="11" t="s">
        <v>34</v>
      </c>
      <c r="C9" s="11" t="s">
        <v>42</v>
      </c>
      <c r="D9" s="11" t="s">
        <v>48</v>
      </c>
      <c r="E9" s="11">
        <v>46429</v>
      </c>
      <c r="F9" s="12">
        <v>45032</v>
      </c>
      <c r="I9" s="33">
        <f t="shared" si="0"/>
        <v>4642.9000000000005</v>
      </c>
      <c r="J9" s="31" t="str">
        <f t="shared" si="1"/>
        <v>Eligible</v>
      </c>
    </row>
    <row r="10" spans="1:21" ht="20" customHeight="1" thickBot="1" x14ac:dyDescent="0.4">
      <c r="A10" s="15">
        <v>2009</v>
      </c>
      <c r="B10" s="15" t="s">
        <v>37</v>
      </c>
      <c r="C10" s="15" t="s">
        <v>42</v>
      </c>
      <c r="D10" s="15" t="s">
        <v>49</v>
      </c>
      <c r="E10" s="15">
        <v>19746</v>
      </c>
      <c r="F10" s="16">
        <v>45047</v>
      </c>
      <c r="I10" s="32">
        <f t="shared" si="0"/>
        <v>1974.6000000000001</v>
      </c>
      <c r="J10" s="28" t="str">
        <f t="shared" si="1"/>
        <v>Eligible</v>
      </c>
    </row>
    <row r="11" spans="1:21" ht="20" customHeight="1" thickBot="1" x14ac:dyDescent="0.4">
      <c r="A11" s="11">
        <v>2010</v>
      </c>
      <c r="B11" s="11" t="s">
        <v>34</v>
      </c>
      <c r="C11" s="11" t="s">
        <v>35</v>
      </c>
      <c r="D11" s="11" t="s">
        <v>50</v>
      </c>
      <c r="E11" s="11">
        <v>35185</v>
      </c>
      <c r="F11" s="12">
        <v>45062</v>
      </c>
      <c r="I11" s="33">
        <f t="shared" si="0"/>
        <v>3518.5</v>
      </c>
      <c r="J11" s="31" t="str">
        <f t="shared" si="1"/>
        <v>Eligible</v>
      </c>
    </row>
    <row r="12" spans="1:21" ht="20" customHeight="1" thickBot="1" x14ac:dyDescent="0.4">
      <c r="A12" s="15">
        <v>2011</v>
      </c>
      <c r="B12" s="15" t="s">
        <v>34</v>
      </c>
      <c r="C12" s="15" t="s">
        <v>42</v>
      </c>
      <c r="D12" s="15" t="s">
        <v>51</v>
      </c>
      <c r="E12" s="15">
        <v>33920</v>
      </c>
      <c r="F12" s="16">
        <v>45077</v>
      </c>
      <c r="I12" s="32">
        <f t="shared" si="0"/>
        <v>3392</v>
      </c>
      <c r="J12" s="28" t="str">
        <f t="shared" si="1"/>
        <v>Eligible</v>
      </c>
    </row>
    <row r="13" spans="1:21" ht="20" customHeight="1" thickBot="1" x14ac:dyDescent="0.4">
      <c r="A13" s="11">
        <v>2012</v>
      </c>
      <c r="B13" s="11" t="s">
        <v>52</v>
      </c>
      <c r="C13" s="11" t="s">
        <v>44</v>
      </c>
      <c r="D13" s="11" t="s">
        <v>53</v>
      </c>
      <c r="E13" s="11">
        <v>35611</v>
      </c>
      <c r="F13" s="12">
        <v>45092</v>
      </c>
      <c r="I13" s="33">
        <f t="shared" si="0"/>
        <v>3561.1000000000004</v>
      </c>
      <c r="J13" s="31" t="str">
        <f t="shared" si="1"/>
        <v>Eligible</v>
      </c>
    </row>
    <row r="14" spans="1:21" ht="20" customHeight="1" thickBot="1" x14ac:dyDescent="0.4">
      <c r="A14" s="15">
        <v>2013</v>
      </c>
      <c r="B14" s="15" t="s">
        <v>54</v>
      </c>
      <c r="C14" s="15" t="s">
        <v>42</v>
      </c>
      <c r="D14" s="15" t="s">
        <v>55</v>
      </c>
      <c r="E14" s="15">
        <v>15560</v>
      </c>
      <c r="F14" s="16">
        <v>45107</v>
      </c>
      <c r="I14" s="32">
        <f t="shared" si="0"/>
        <v>1556</v>
      </c>
      <c r="J14" s="28" t="str">
        <f t="shared" si="1"/>
        <v>Eligible</v>
      </c>
    </row>
    <row r="15" spans="1:21" ht="20" customHeight="1" thickBot="1" x14ac:dyDescent="0.4">
      <c r="A15" s="11">
        <v>2014</v>
      </c>
      <c r="B15" s="11" t="s">
        <v>54</v>
      </c>
      <c r="C15" s="11" t="s">
        <v>35</v>
      </c>
      <c r="D15" s="11" t="s">
        <v>56</v>
      </c>
      <c r="E15" s="11">
        <v>7283</v>
      </c>
      <c r="F15" s="12">
        <v>45122</v>
      </c>
      <c r="I15" s="33">
        <f t="shared" si="0"/>
        <v>728.30000000000007</v>
      </c>
      <c r="J15" s="31" t="str">
        <f t="shared" si="1"/>
        <v>Eligible</v>
      </c>
    </row>
    <row r="16" spans="1:21" ht="20" customHeight="1" thickBot="1" x14ac:dyDescent="0.4">
      <c r="A16" s="15">
        <v>2015</v>
      </c>
      <c r="B16" s="15" t="s">
        <v>54</v>
      </c>
      <c r="C16" s="15" t="s">
        <v>42</v>
      </c>
      <c r="D16" s="15" t="s">
        <v>57</v>
      </c>
      <c r="E16" s="15">
        <v>15678</v>
      </c>
      <c r="F16" s="16">
        <v>45137</v>
      </c>
      <c r="I16" s="32">
        <f t="shared" si="0"/>
        <v>1567.8000000000002</v>
      </c>
      <c r="J16" s="28" t="str">
        <f t="shared" si="1"/>
        <v>Eligible</v>
      </c>
    </row>
    <row r="17" spans="1:10" ht="20" customHeight="1" thickBot="1" x14ac:dyDescent="0.4">
      <c r="A17" s="11">
        <v>2016</v>
      </c>
      <c r="B17" s="11" t="s">
        <v>40</v>
      </c>
      <c r="C17" s="11" t="s">
        <v>42</v>
      </c>
      <c r="D17" s="11" t="s">
        <v>58</v>
      </c>
      <c r="E17" s="11">
        <v>5277</v>
      </c>
      <c r="F17" s="12">
        <v>45152</v>
      </c>
      <c r="I17" s="33">
        <f t="shared" si="0"/>
        <v>527.70000000000005</v>
      </c>
      <c r="J17" s="31" t="str">
        <f t="shared" si="1"/>
        <v>Not Discount</v>
      </c>
    </row>
    <row r="18" spans="1:10" ht="20" customHeight="1" thickBot="1" x14ac:dyDescent="0.4">
      <c r="A18" s="15">
        <v>2017</v>
      </c>
      <c r="B18" s="15" t="s">
        <v>52</v>
      </c>
      <c r="C18" s="15" t="s">
        <v>44</v>
      </c>
      <c r="D18" s="15" t="s">
        <v>59</v>
      </c>
      <c r="E18" s="15">
        <v>41871</v>
      </c>
      <c r="F18" s="16">
        <v>45167</v>
      </c>
      <c r="I18" s="32">
        <f t="shared" si="0"/>
        <v>4187.1000000000004</v>
      </c>
      <c r="J18" s="28" t="str">
        <f t="shared" si="1"/>
        <v>Eligible</v>
      </c>
    </row>
    <row r="19" spans="1:10" ht="20" customHeight="1" thickBot="1" x14ac:dyDescent="0.4">
      <c r="A19" s="11">
        <v>2018</v>
      </c>
      <c r="B19" s="11" t="s">
        <v>52</v>
      </c>
      <c r="C19" s="11" t="s">
        <v>38</v>
      </c>
      <c r="D19" s="11" t="s">
        <v>60</v>
      </c>
      <c r="E19" s="11">
        <v>38161</v>
      </c>
      <c r="F19" s="12">
        <v>45182</v>
      </c>
      <c r="I19" s="33">
        <f t="shared" si="0"/>
        <v>3816.1000000000004</v>
      </c>
      <c r="J19" s="31" t="str">
        <f t="shared" si="1"/>
        <v>Eligible</v>
      </c>
    </row>
    <row r="20" spans="1:10" ht="20" customHeight="1" thickBot="1" x14ac:dyDescent="0.4">
      <c r="A20" s="15">
        <v>2019</v>
      </c>
      <c r="B20" s="15" t="s">
        <v>40</v>
      </c>
      <c r="C20" s="15" t="s">
        <v>38</v>
      </c>
      <c r="D20" s="15" t="s">
        <v>61</v>
      </c>
      <c r="E20" s="15">
        <v>30436</v>
      </c>
      <c r="F20" s="16">
        <v>45197</v>
      </c>
      <c r="I20" s="32">
        <f t="shared" si="0"/>
        <v>3043.6000000000004</v>
      </c>
      <c r="J20" s="28" t="str">
        <f t="shared" si="1"/>
        <v>Eligible</v>
      </c>
    </row>
    <row r="21" spans="1:10" ht="20" customHeight="1" thickBot="1" x14ac:dyDescent="0.4">
      <c r="A21" s="13">
        <v>2020</v>
      </c>
      <c r="B21" s="13" t="s">
        <v>37</v>
      </c>
      <c r="C21" s="13" t="s">
        <v>38</v>
      </c>
      <c r="D21" s="13" t="s">
        <v>62</v>
      </c>
      <c r="E21" s="13">
        <v>33953</v>
      </c>
      <c r="F21" s="14">
        <v>45212</v>
      </c>
      <c r="I21" s="33">
        <f t="shared" si="0"/>
        <v>3395.3</v>
      </c>
      <c r="J21" s="31" t="str">
        <f t="shared" si="1"/>
        <v>Eligible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zoomScale="63" zoomScaleNormal="70" workbookViewId="0">
      <selection activeCell="G2" sqref="G2"/>
    </sheetView>
  </sheetViews>
  <sheetFormatPr defaultColWidth="15.1796875" defaultRowHeight="19.5" customHeight="1" x14ac:dyDescent="0.35"/>
  <cols>
    <col min="1" max="1" width="13.453125" customWidth="1"/>
    <col min="5" max="5" width="21.54296875" customWidth="1"/>
    <col min="6" max="6" width="16.6328125" customWidth="1"/>
    <col min="7" max="7" width="13" customWidth="1"/>
  </cols>
  <sheetData>
    <row r="1" spans="1:16" ht="19.5" customHeight="1" thickBot="1" x14ac:dyDescent="0.4">
      <c r="A1" s="17" t="s">
        <v>65</v>
      </c>
      <c r="B1" s="17" t="s">
        <v>1</v>
      </c>
      <c r="C1" s="17" t="s">
        <v>66</v>
      </c>
      <c r="D1" s="17" t="s">
        <v>67</v>
      </c>
      <c r="E1" s="17" t="s">
        <v>68</v>
      </c>
      <c r="F1" s="10" t="s">
        <v>93</v>
      </c>
      <c r="G1" s="10" t="s">
        <v>67</v>
      </c>
      <c r="H1" s="27" t="s">
        <v>93</v>
      </c>
      <c r="I1" s="27" t="s">
        <v>106</v>
      </c>
      <c r="J1" t="s">
        <v>108</v>
      </c>
      <c r="K1" t="s">
        <v>109</v>
      </c>
      <c r="L1" t="s">
        <v>110</v>
      </c>
      <c r="M1" t="s">
        <v>111</v>
      </c>
      <c r="N1" t="s">
        <v>112</v>
      </c>
      <c r="O1" t="s">
        <v>114</v>
      </c>
      <c r="P1" t="s">
        <v>113</v>
      </c>
    </row>
    <row r="2" spans="1:16" ht="19.5" customHeight="1" thickBot="1" x14ac:dyDescent="0.4">
      <c r="A2" s="19">
        <v>3001</v>
      </c>
      <c r="B2" s="19" t="s">
        <v>69</v>
      </c>
      <c r="C2" s="19" t="s">
        <v>70</v>
      </c>
      <c r="D2" s="19">
        <v>86766</v>
      </c>
      <c r="E2" s="21">
        <v>42005</v>
      </c>
      <c r="F2" s="56" t="s">
        <v>89</v>
      </c>
      <c r="G2" s="56">
        <f>VLOOKUP(F2,$B$2:$D$21,3,FALSE)</f>
        <v>86915</v>
      </c>
      <c r="H2" s="31" t="s">
        <v>77</v>
      </c>
      <c r="I2" s="31">
        <f>INDEX(D2:D21,MATCH(H2,B2:B21,0))</f>
        <v>78689</v>
      </c>
      <c r="L2" t="str">
        <f>UPPER(B2:B21)</f>
        <v>EMPLOYEE 1</v>
      </c>
      <c r="M2" t="str">
        <f>LOWER(B2:B21)</f>
        <v>employee 1</v>
      </c>
      <c r="N2" t="str">
        <f>LEFT(B2,FIND(" ",B2)-1)</f>
        <v>Employee</v>
      </c>
      <c r="O2" t="s">
        <v>84</v>
      </c>
      <c r="P2">
        <f>VLOOKUP(O2, B2:D21, 3, 0)</f>
        <v>35226</v>
      </c>
    </row>
    <row r="3" spans="1:16" ht="19.5" customHeight="1" thickBot="1" x14ac:dyDescent="0.4">
      <c r="A3" s="11">
        <v>3002</v>
      </c>
      <c r="B3" s="11" t="s">
        <v>71</v>
      </c>
      <c r="C3" s="11" t="s">
        <v>70</v>
      </c>
      <c r="D3" s="11">
        <v>31943</v>
      </c>
      <c r="E3" s="12">
        <v>42255</v>
      </c>
      <c r="J3" t="s">
        <v>84</v>
      </c>
      <c r="K3">
        <f>INDEX(D2:D21, MATCH(J3, B2:B21, 0))</f>
        <v>35226</v>
      </c>
      <c r="L3" t="str">
        <f t="shared" ref="L3:L21" si="0">UPPER(B3:B22)</f>
        <v>EMPLOYEE 2</v>
      </c>
      <c r="M3" t="str">
        <f t="shared" ref="M3:M21" si="1">LOWER(B3:B22)</f>
        <v>employee 2</v>
      </c>
    </row>
    <row r="4" spans="1:16" ht="19.5" customHeight="1" thickBot="1" x14ac:dyDescent="0.4">
      <c r="A4" s="19">
        <v>3003</v>
      </c>
      <c r="B4" s="19" t="s">
        <v>72</v>
      </c>
      <c r="C4" s="19" t="s">
        <v>73</v>
      </c>
      <c r="D4" s="19">
        <v>63374</v>
      </c>
      <c r="E4" s="20">
        <v>42505</v>
      </c>
      <c r="L4" t="str">
        <f t="shared" si="0"/>
        <v>EMPLOYEE 3</v>
      </c>
      <c r="M4" t="str">
        <f t="shared" si="1"/>
        <v>employee 3</v>
      </c>
    </row>
    <row r="5" spans="1:16" ht="19.5" customHeight="1" thickBot="1" x14ac:dyDescent="0.4">
      <c r="A5" s="11">
        <v>3004</v>
      </c>
      <c r="B5" s="11" t="s">
        <v>74</v>
      </c>
      <c r="C5" s="11" t="s">
        <v>70</v>
      </c>
      <c r="D5" s="11">
        <v>109972</v>
      </c>
      <c r="E5" s="12">
        <v>42755</v>
      </c>
      <c r="L5" t="str">
        <f t="shared" si="0"/>
        <v>EMPLOYEE 4</v>
      </c>
      <c r="M5" t="str">
        <f t="shared" si="1"/>
        <v>employee 4</v>
      </c>
    </row>
    <row r="6" spans="1:16" ht="19.5" customHeight="1" thickBot="1" x14ac:dyDescent="0.4">
      <c r="A6" s="19">
        <v>3005</v>
      </c>
      <c r="B6" s="19" t="s">
        <v>75</v>
      </c>
      <c r="C6" s="19" t="s">
        <v>76</v>
      </c>
      <c r="D6" s="19">
        <v>54149</v>
      </c>
      <c r="E6" s="20">
        <v>43005</v>
      </c>
      <c r="L6" t="str">
        <f t="shared" si="0"/>
        <v>EMPLOYEE 5</v>
      </c>
      <c r="M6" t="str">
        <f t="shared" si="1"/>
        <v>employee 5</v>
      </c>
    </row>
    <row r="7" spans="1:16" ht="19.5" customHeight="1" thickBot="1" x14ac:dyDescent="0.4">
      <c r="A7" s="11">
        <v>3006</v>
      </c>
      <c r="B7" s="11" t="s">
        <v>77</v>
      </c>
      <c r="C7" s="11" t="s">
        <v>76</v>
      </c>
      <c r="D7" s="11">
        <v>78689</v>
      </c>
      <c r="E7" s="12">
        <v>43255</v>
      </c>
      <c r="L7" t="str">
        <f t="shared" si="0"/>
        <v>EMPLOYEE 6</v>
      </c>
      <c r="M7" t="str">
        <f t="shared" si="1"/>
        <v>employee 6</v>
      </c>
    </row>
    <row r="8" spans="1:16" ht="19.5" customHeight="1" thickBot="1" x14ac:dyDescent="0.4">
      <c r="A8" s="19">
        <v>3007</v>
      </c>
      <c r="B8" s="19" t="s">
        <v>78</v>
      </c>
      <c r="C8" s="19" t="s">
        <v>79</v>
      </c>
      <c r="D8" s="19">
        <v>35960</v>
      </c>
      <c r="E8" s="20">
        <v>43505</v>
      </c>
      <c r="L8" t="str">
        <f t="shared" si="0"/>
        <v>EMPLOYEE 7</v>
      </c>
      <c r="M8" t="str">
        <f t="shared" si="1"/>
        <v>employee 7</v>
      </c>
    </row>
    <row r="9" spans="1:16" ht="19.5" customHeight="1" thickBot="1" x14ac:dyDescent="0.4">
      <c r="A9" s="11">
        <v>3008</v>
      </c>
      <c r="B9" s="11" t="s">
        <v>80</v>
      </c>
      <c r="C9" s="11" t="s">
        <v>76</v>
      </c>
      <c r="D9" s="11">
        <v>91659</v>
      </c>
      <c r="E9" s="12">
        <v>43755</v>
      </c>
      <c r="L9" t="str">
        <f t="shared" si="0"/>
        <v>EMPLOYEE 8</v>
      </c>
      <c r="M9" t="str">
        <f t="shared" si="1"/>
        <v>employee 8</v>
      </c>
    </row>
    <row r="10" spans="1:16" ht="19.5" customHeight="1" thickBot="1" x14ac:dyDescent="0.4">
      <c r="A10" s="19">
        <v>3009</v>
      </c>
      <c r="B10" s="19" t="s">
        <v>81</v>
      </c>
      <c r="C10" s="19" t="s">
        <v>76</v>
      </c>
      <c r="D10" s="19">
        <v>90423</v>
      </c>
      <c r="E10" s="20">
        <v>44005</v>
      </c>
      <c r="L10" t="str">
        <f t="shared" si="0"/>
        <v>EMPLOYEE 9</v>
      </c>
      <c r="M10" t="str">
        <f t="shared" si="1"/>
        <v>employee 9</v>
      </c>
    </row>
    <row r="11" spans="1:16" ht="19.5" customHeight="1" thickBot="1" x14ac:dyDescent="0.4">
      <c r="A11" s="11">
        <v>3010</v>
      </c>
      <c r="B11" s="11" t="s">
        <v>82</v>
      </c>
      <c r="C11" s="11" t="s">
        <v>73</v>
      </c>
      <c r="D11" s="11">
        <v>107877</v>
      </c>
      <c r="E11" s="12">
        <v>44255</v>
      </c>
      <c r="L11" t="str">
        <f t="shared" si="0"/>
        <v>EMPLOYEE 10</v>
      </c>
      <c r="M11" t="str">
        <f t="shared" si="1"/>
        <v>employee 10</v>
      </c>
    </row>
    <row r="12" spans="1:16" ht="19.5" customHeight="1" thickBot="1" x14ac:dyDescent="0.4">
      <c r="A12" s="19">
        <v>3011</v>
      </c>
      <c r="B12" s="19" t="s">
        <v>83</v>
      </c>
      <c r="C12" s="19" t="s">
        <v>70</v>
      </c>
      <c r="D12" s="19">
        <v>107634</v>
      </c>
      <c r="E12" s="20">
        <v>44505</v>
      </c>
      <c r="L12" t="str">
        <f t="shared" si="0"/>
        <v>EMPLOYEE 11</v>
      </c>
      <c r="M12" t="str">
        <f t="shared" si="1"/>
        <v>employee 11</v>
      </c>
    </row>
    <row r="13" spans="1:16" ht="19.5" customHeight="1" thickBot="1" x14ac:dyDescent="0.4">
      <c r="A13" s="11">
        <v>3012</v>
      </c>
      <c r="B13" s="11" t="s">
        <v>84</v>
      </c>
      <c r="C13" s="11" t="s">
        <v>70</v>
      </c>
      <c r="D13" s="11">
        <v>35226</v>
      </c>
      <c r="E13" s="12">
        <v>44755</v>
      </c>
      <c r="L13" t="str">
        <f t="shared" si="0"/>
        <v>EMPLOYEE 12</v>
      </c>
      <c r="M13" t="str">
        <f t="shared" si="1"/>
        <v>employee 12</v>
      </c>
    </row>
    <row r="14" spans="1:16" ht="19.5" customHeight="1" thickBot="1" x14ac:dyDescent="0.4">
      <c r="A14" s="19">
        <v>3013</v>
      </c>
      <c r="B14" s="19" t="s">
        <v>85</v>
      </c>
      <c r="C14" s="19" t="s">
        <v>73</v>
      </c>
      <c r="D14" s="19">
        <v>40872</v>
      </c>
      <c r="E14" s="20">
        <v>45005</v>
      </c>
      <c r="L14" t="str">
        <f t="shared" si="0"/>
        <v>EMPLOYEE 13</v>
      </c>
      <c r="M14" t="str">
        <f t="shared" si="1"/>
        <v>employee 13</v>
      </c>
    </row>
    <row r="15" spans="1:16" ht="19.5" customHeight="1" thickBot="1" x14ac:dyDescent="0.4">
      <c r="A15" s="11">
        <v>3014</v>
      </c>
      <c r="B15" s="11" t="s">
        <v>86</v>
      </c>
      <c r="C15" s="11" t="s">
        <v>73</v>
      </c>
      <c r="D15" s="11">
        <v>55378</v>
      </c>
      <c r="E15" s="12">
        <v>45255</v>
      </c>
      <c r="L15" t="str">
        <f t="shared" si="0"/>
        <v>EMPLOYEE 14</v>
      </c>
      <c r="M15" t="str">
        <f t="shared" si="1"/>
        <v>employee 14</v>
      </c>
    </row>
    <row r="16" spans="1:16" ht="19.5" customHeight="1" thickBot="1" x14ac:dyDescent="0.4">
      <c r="A16" s="19">
        <v>3015</v>
      </c>
      <c r="B16" s="19" t="s">
        <v>87</v>
      </c>
      <c r="C16" s="19" t="s">
        <v>73</v>
      </c>
      <c r="D16" s="19">
        <v>63297</v>
      </c>
      <c r="E16" s="20">
        <v>45505</v>
      </c>
      <c r="L16" t="str">
        <f t="shared" si="0"/>
        <v>EMPLOYEE 15</v>
      </c>
      <c r="M16" t="str">
        <f t="shared" si="1"/>
        <v>employee 15</v>
      </c>
    </row>
    <row r="17" spans="1:13" ht="19.5" customHeight="1" thickBot="1" x14ac:dyDescent="0.4">
      <c r="A17" s="11">
        <v>3016</v>
      </c>
      <c r="B17" s="11" t="s">
        <v>88</v>
      </c>
      <c r="C17" s="11" t="s">
        <v>70</v>
      </c>
      <c r="D17" s="11">
        <v>114173</v>
      </c>
      <c r="E17" s="12">
        <v>45755</v>
      </c>
      <c r="L17" t="str">
        <f t="shared" si="0"/>
        <v>EMPLOYEE 16</v>
      </c>
      <c r="M17" t="str">
        <f t="shared" si="1"/>
        <v>employee 16</v>
      </c>
    </row>
    <row r="18" spans="1:13" ht="19.5" customHeight="1" thickBot="1" x14ac:dyDescent="0.4">
      <c r="A18" s="19">
        <v>3017</v>
      </c>
      <c r="B18" s="19" t="s">
        <v>89</v>
      </c>
      <c r="C18" s="19" t="s">
        <v>73</v>
      </c>
      <c r="D18" s="19">
        <v>86915</v>
      </c>
      <c r="E18" s="20">
        <v>46005</v>
      </c>
      <c r="L18" t="str">
        <f t="shared" si="0"/>
        <v>EMPLOYEE 17</v>
      </c>
      <c r="M18" t="str">
        <f t="shared" si="1"/>
        <v>employee 17</v>
      </c>
    </row>
    <row r="19" spans="1:13" ht="19.5" customHeight="1" thickBot="1" x14ac:dyDescent="0.4">
      <c r="A19" s="11">
        <v>3018</v>
      </c>
      <c r="B19" s="11" t="s">
        <v>90</v>
      </c>
      <c r="C19" s="11" t="s">
        <v>76</v>
      </c>
      <c r="D19" s="11">
        <v>116284</v>
      </c>
      <c r="E19" s="12">
        <v>46255</v>
      </c>
      <c r="L19" t="str">
        <f t="shared" si="0"/>
        <v>EMPLOYEE 18</v>
      </c>
      <c r="M19" t="str">
        <f t="shared" si="1"/>
        <v>employee 18</v>
      </c>
    </row>
    <row r="20" spans="1:13" ht="19.5" customHeight="1" thickBot="1" x14ac:dyDescent="0.4">
      <c r="A20" s="19">
        <v>3019</v>
      </c>
      <c r="B20" s="19" t="s">
        <v>91</v>
      </c>
      <c r="C20" s="19" t="s">
        <v>79</v>
      </c>
      <c r="D20" s="19">
        <v>116283</v>
      </c>
      <c r="E20" s="20">
        <v>46505</v>
      </c>
      <c r="L20" t="str">
        <f t="shared" si="0"/>
        <v>EMPLOYEE 19</v>
      </c>
      <c r="M20" t="str">
        <f t="shared" si="1"/>
        <v>employee 19</v>
      </c>
    </row>
    <row r="21" spans="1:13" ht="19.5" customHeight="1" thickBot="1" x14ac:dyDescent="0.4">
      <c r="A21" s="13">
        <v>3020</v>
      </c>
      <c r="B21" s="13" t="s">
        <v>92</v>
      </c>
      <c r="C21" s="13" t="s">
        <v>79</v>
      </c>
      <c r="D21" s="13">
        <v>99924</v>
      </c>
      <c r="E21" s="14">
        <v>46755</v>
      </c>
      <c r="L21" t="str">
        <f t="shared" si="0"/>
        <v>EMPLOYEE 20</v>
      </c>
      <c r="M21" t="str">
        <f t="shared" si="1"/>
        <v>employee 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Grade</vt:lpstr>
      <vt:lpstr>Sales Data</vt:lpstr>
      <vt:lpstr>Employee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2026-02-05T10:57:30Z</dcterms:created>
  <dcterms:modified xsi:type="dcterms:W3CDTF">2026-02-09T12:12:19Z</dcterms:modified>
</cp:coreProperties>
</file>