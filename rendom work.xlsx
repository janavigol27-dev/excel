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L4" i="1" l="1"/>
  <c r="K4" i="1"/>
</calcChain>
</file>

<file path=xl/sharedStrings.xml><?xml version="1.0" encoding="utf-8"?>
<sst xmlns="http://schemas.openxmlformats.org/spreadsheetml/2006/main" count="273" uniqueCount="208">
  <si>
    <t>Emp ID</t>
  </si>
  <si>
    <t>Name</t>
  </si>
  <si>
    <t>Department</t>
  </si>
  <si>
    <t>Designation</t>
  </si>
  <si>
    <t>Age</t>
  </si>
  <si>
    <t>Salary</t>
  </si>
  <si>
    <t>City</t>
  </si>
  <si>
    <t>Experience</t>
  </si>
  <si>
    <t>E001</t>
  </si>
  <si>
    <t>Rahul Sharma</t>
  </si>
  <si>
    <t>HR</t>
  </si>
  <si>
    <t>HR Executive</t>
  </si>
  <si>
    <t>Delhi</t>
  </si>
  <si>
    <t>E002</t>
  </si>
  <si>
    <t>Priya Patel</t>
  </si>
  <si>
    <t>Finance</t>
  </si>
  <si>
    <t>Accountant</t>
  </si>
  <si>
    <t>Ahmedabad</t>
  </si>
  <si>
    <t>E003</t>
  </si>
  <si>
    <t>Amit Verma</t>
  </si>
  <si>
    <t>IT</t>
  </si>
  <si>
    <t>Software Eng.</t>
  </si>
  <si>
    <t>Pune</t>
  </si>
  <si>
    <t>E004</t>
  </si>
  <si>
    <t>Neha Singh</t>
  </si>
  <si>
    <t>Marketing</t>
  </si>
  <si>
    <t>Marketing Exec.</t>
  </si>
  <si>
    <t>Jaipur</t>
  </si>
  <si>
    <t>E005</t>
  </si>
  <si>
    <t>Rohit Kumar</t>
  </si>
  <si>
    <t>Sales</t>
  </si>
  <si>
    <t>Sales Exec.</t>
  </si>
  <si>
    <t>Patna</t>
  </si>
  <si>
    <t>E006</t>
  </si>
  <si>
    <t>Pooja Mehta</t>
  </si>
  <si>
    <t>HR Recruiter</t>
  </si>
  <si>
    <t>Mumbai</t>
  </si>
  <si>
    <t>E007</t>
  </si>
  <si>
    <t>Sanjay Yadav</t>
  </si>
  <si>
    <t>System Admin</t>
  </si>
  <si>
    <t>Lucknow</t>
  </si>
  <si>
    <t>E008</t>
  </si>
  <si>
    <t>Kiran Joshi</t>
  </si>
  <si>
    <t>Auditor</t>
  </si>
  <si>
    <t>Surat</t>
  </si>
  <si>
    <t>E009</t>
  </si>
  <si>
    <t>Anjali Roy</t>
  </si>
  <si>
    <t>Content Exec.</t>
  </si>
  <si>
    <t>Kolkata</t>
  </si>
  <si>
    <t>E010</t>
  </si>
  <si>
    <t>Vikas Shah</t>
  </si>
  <si>
    <t>Sales Manager</t>
  </si>
  <si>
    <t>Vadodara</t>
  </si>
  <si>
    <t>E011</t>
  </si>
  <si>
    <t>Deepak Mishra</t>
  </si>
  <si>
    <t>Developer</t>
  </si>
  <si>
    <t>Bhopal</t>
  </si>
  <si>
    <t>E012</t>
  </si>
  <si>
    <t>Reena Nair</t>
  </si>
  <si>
    <t>HR Manager</t>
  </si>
  <si>
    <t>Kochi</t>
  </si>
  <si>
    <t>E013</t>
  </si>
  <si>
    <t>Nitin Gupta</t>
  </si>
  <si>
    <t>Cashier</t>
  </si>
  <si>
    <t>E014</t>
  </si>
  <si>
    <t>Swati Jain</t>
  </si>
  <si>
    <t>SEO Executive</t>
  </si>
  <si>
    <t>Indore</t>
  </si>
  <si>
    <t>E015</t>
  </si>
  <si>
    <t>Arjun Malhotra</t>
  </si>
  <si>
    <t>Chandigarh</t>
  </si>
  <si>
    <t>E016</t>
  </si>
  <si>
    <t>Mehul Desai</t>
  </si>
  <si>
    <t>Tester</t>
  </si>
  <si>
    <t>Rajkot</t>
  </si>
  <si>
    <t>E017</t>
  </si>
  <si>
    <t>Priyanka Das</t>
  </si>
  <si>
    <t>Account Exec.</t>
  </si>
  <si>
    <t>Bhubaneswar</t>
  </si>
  <si>
    <t>E018</t>
  </si>
  <si>
    <t>Aakash Tiwari</t>
  </si>
  <si>
    <t>HR Assistant</t>
  </si>
  <si>
    <t>Rewa</t>
  </si>
  <si>
    <t>E019</t>
  </si>
  <si>
    <t>Sonal Kapoor</t>
  </si>
  <si>
    <t>Brand Exec.</t>
  </si>
  <si>
    <t>Noida</t>
  </si>
  <si>
    <t>E020</t>
  </si>
  <si>
    <t>Mohit Bansal</t>
  </si>
  <si>
    <t>Area Manager</t>
  </si>
  <si>
    <t>E021</t>
  </si>
  <si>
    <t>Ritu Saxena</t>
  </si>
  <si>
    <t>Agra</t>
  </si>
  <si>
    <t>E022</t>
  </si>
  <si>
    <t>Harsh Patel</t>
  </si>
  <si>
    <t>Backend Dev</t>
  </si>
  <si>
    <t>Anand</t>
  </si>
  <si>
    <t>E023</t>
  </si>
  <si>
    <t>Pankaj Rana</t>
  </si>
  <si>
    <t>Dehradun</t>
  </si>
  <si>
    <t>E024</t>
  </si>
  <si>
    <t>Nisha Kulkarni</t>
  </si>
  <si>
    <t>Nashik</t>
  </si>
  <si>
    <t>E025</t>
  </si>
  <si>
    <t>Suresh Iyer</t>
  </si>
  <si>
    <t>Finance Head</t>
  </si>
  <si>
    <t>Chennai</t>
  </si>
  <si>
    <t>E026</t>
  </si>
  <si>
    <t>Komal Arora</t>
  </si>
  <si>
    <t>Social Media Exec.</t>
  </si>
  <si>
    <t>Gurgaon</t>
  </si>
  <si>
    <t>E027</t>
  </si>
  <si>
    <t>Manish Soni</t>
  </si>
  <si>
    <t>Network Eng.</t>
  </si>
  <si>
    <t>Udaipur</t>
  </si>
  <si>
    <t>E028</t>
  </si>
  <si>
    <t>Aditi Chawla</t>
  </si>
  <si>
    <t>Panipat</t>
  </si>
  <si>
    <t>E029</t>
  </si>
  <si>
    <t>Rajesh Pawar</t>
  </si>
  <si>
    <t>Sales Lead</t>
  </si>
  <si>
    <t>Aurangabad</t>
  </si>
  <si>
    <t>E030</t>
  </si>
  <si>
    <t>Tina Fernandes</t>
  </si>
  <si>
    <t>Tax Consultant</t>
  </si>
  <si>
    <t>Goa</t>
  </si>
  <si>
    <t>E031</t>
  </si>
  <si>
    <t>Kunal Mehra</t>
  </si>
  <si>
    <t>Full Stack Dev</t>
  </si>
  <si>
    <t>Faridabad</t>
  </si>
  <si>
    <t>E032</t>
  </si>
  <si>
    <t>Payal Ghosh</t>
  </si>
  <si>
    <t>PR Executive</t>
  </si>
  <si>
    <t>Howrah</t>
  </si>
  <si>
    <t>E033</t>
  </si>
  <si>
    <t>Imran Khan</t>
  </si>
  <si>
    <t>Bareilly</t>
  </si>
  <si>
    <t>E034</t>
  </si>
  <si>
    <t>Sneha Patil</t>
  </si>
  <si>
    <t>Sangli</t>
  </si>
  <si>
    <t>E035</t>
  </si>
  <si>
    <t>Rakesh Yadav</t>
  </si>
  <si>
    <t>Billing Exec.</t>
  </si>
  <si>
    <t>Azamgarh</t>
  </si>
  <si>
    <t>E036</t>
  </si>
  <si>
    <t>Nikhil More</t>
  </si>
  <si>
    <t>UI/UX Designer</t>
  </si>
  <si>
    <t>Thane</t>
  </si>
  <si>
    <t>E037</t>
  </si>
  <si>
    <t>Pooja Rathi</t>
  </si>
  <si>
    <t>Ad Exec.</t>
  </si>
  <si>
    <t>Bikaner</t>
  </si>
  <si>
    <t>E038</t>
  </si>
  <si>
    <t>Ashish Saxena</t>
  </si>
  <si>
    <t>Sales Trainer</t>
  </si>
  <si>
    <t>Kanpur</t>
  </si>
  <si>
    <t>E039</t>
  </si>
  <si>
    <t>Lavanya Rao</t>
  </si>
  <si>
    <t>Banking Exec.</t>
  </si>
  <si>
    <t>Warangal</t>
  </si>
  <si>
    <t>E040</t>
  </si>
  <si>
    <t>Ankit Choudhary</t>
  </si>
  <si>
    <t>Data Analyst</t>
  </si>
  <si>
    <t>Gurugram</t>
  </si>
  <si>
    <t>E041</t>
  </si>
  <si>
    <t>Rashmi Kulkarni</t>
  </si>
  <si>
    <t>Kolhapur</t>
  </si>
  <si>
    <t>E042</t>
  </si>
  <si>
    <t>Vivek Pandey</t>
  </si>
  <si>
    <t>Prayagraj</t>
  </si>
  <si>
    <t>E043</t>
  </si>
  <si>
    <t>Monika Bhat</t>
  </si>
  <si>
    <t>Email Marketer</t>
  </si>
  <si>
    <t>Jammu</t>
  </si>
  <si>
    <t>E044</t>
  </si>
  <si>
    <t>Satish Reddy</t>
  </si>
  <si>
    <t>Cloud Eng.</t>
  </si>
  <si>
    <t>Hyderabad</t>
  </si>
  <si>
    <t>E045</t>
  </si>
  <si>
    <t>Alka Mishra</t>
  </si>
  <si>
    <t>Account Manager</t>
  </si>
  <si>
    <t>Gwalior</t>
  </si>
  <si>
    <t>E046</t>
  </si>
  <si>
    <t>Yogesh Solanki</t>
  </si>
  <si>
    <t>Dewas</t>
  </si>
  <si>
    <t>E047</t>
  </si>
  <si>
    <t>Shreya Sen</t>
  </si>
  <si>
    <t>HR Coordinator</t>
  </si>
  <si>
    <t>Siliguri</t>
  </si>
  <si>
    <t>E048</t>
  </si>
  <si>
    <t>Naveen Pillai</t>
  </si>
  <si>
    <t>Security Analyst</t>
  </si>
  <si>
    <t>Trivandrum</t>
  </si>
  <si>
    <t>E049</t>
  </si>
  <si>
    <t>Rahul Joshi</t>
  </si>
  <si>
    <t>Market Analyst</t>
  </si>
  <si>
    <t>Ajmer</t>
  </si>
  <si>
    <t>E050</t>
  </si>
  <si>
    <t>Kavita Sharma</t>
  </si>
  <si>
    <t>Accounts Head</t>
  </si>
  <si>
    <t>Meerut</t>
  </si>
  <si>
    <t>Input</t>
  </si>
  <si>
    <t>ID</t>
  </si>
  <si>
    <t>Joining Date</t>
  </si>
  <si>
    <t>Manager</t>
  </si>
  <si>
    <t>Rating</t>
  </si>
  <si>
    <t>Bonus %</t>
  </si>
  <si>
    <t>Total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</si>
</sst>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="85" zoomScaleNormal="85" workbookViewId="0">
      <selection activeCell="K10" sqref="K10"/>
    </sheetView>
  </sheetViews>
  <sheetFormatPr defaultColWidth="12.6328125" defaultRowHeight="14.5" x14ac:dyDescent="0.35"/>
  <cols>
    <col min="3" max="3" width="14.36328125" customWidth="1"/>
    <col min="4" max="4" width="14.54296875" customWidth="1"/>
    <col min="8" max="8" width="13.4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9" x14ac:dyDescent="0.35">
      <c r="A2" t="s">
        <v>8</v>
      </c>
      <c r="B2" t="s">
        <v>9</v>
      </c>
      <c r="C2" t="s">
        <v>10</v>
      </c>
      <c r="D2" t="s">
        <v>11</v>
      </c>
      <c r="E2">
        <v>25</v>
      </c>
      <c r="F2">
        <v>25000</v>
      </c>
      <c r="G2" t="s">
        <v>12</v>
      </c>
      <c r="H2">
        <v>2</v>
      </c>
      <c r="I2" s="2"/>
    </row>
    <row r="3" spans="1:19" x14ac:dyDescent="0.35">
      <c r="A3" t="s">
        <v>13</v>
      </c>
      <c r="B3" t="s">
        <v>14</v>
      </c>
      <c r="C3" t="s">
        <v>15</v>
      </c>
      <c r="D3" t="s">
        <v>16</v>
      </c>
      <c r="E3">
        <v>28</v>
      </c>
      <c r="F3">
        <v>32000</v>
      </c>
      <c r="G3" t="s">
        <v>17</v>
      </c>
      <c r="H3">
        <v>4</v>
      </c>
      <c r="J3" s="1" t="s">
        <v>201</v>
      </c>
      <c r="K3" s="1" t="s">
        <v>1</v>
      </c>
      <c r="L3" s="1" t="s">
        <v>5</v>
      </c>
    </row>
    <row r="4" spans="1:19" x14ac:dyDescent="0.35">
      <c r="A4" t="s">
        <v>18</v>
      </c>
      <c r="B4" t="s">
        <v>19</v>
      </c>
      <c r="C4" t="s">
        <v>20</v>
      </c>
      <c r="D4" t="s">
        <v>21</v>
      </c>
      <c r="E4">
        <v>26</v>
      </c>
      <c r="F4">
        <v>40000</v>
      </c>
      <c r="G4" t="s">
        <v>22</v>
      </c>
      <c r="H4">
        <v>3</v>
      </c>
      <c r="J4" s="1" t="s">
        <v>87</v>
      </c>
      <c r="K4" s="1" t="str">
        <f>VLOOKUP(J4,A2:H51,2)</f>
        <v>Mohit Bansal</v>
      </c>
      <c r="L4" s="1">
        <f>VLOOKUP(J4,A2:H51,6)</f>
        <v>70000</v>
      </c>
    </row>
    <row r="5" spans="1:19" x14ac:dyDescent="0.35">
      <c r="A5" t="s">
        <v>23</v>
      </c>
      <c r="B5" t="s">
        <v>24</v>
      </c>
      <c r="C5" t="s">
        <v>25</v>
      </c>
      <c r="D5" t="s">
        <v>26</v>
      </c>
      <c r="E5">
        <v>24</v>
      </c>
      <c r="F5">
        <v>22000</v>
      </c>
      <c r="G5" t="s">
        <v>27</v>
      </c>
      <c r="H5">
        <v>1</v>
      </c>
    </row>
    <row r="6" spans="1:19" x14ac:dyDescent="0.35">
      <c r="A6" t="s">
        <v>28</v>
      </c>
      <c r="B6" t="s">
        <v>29</v>
      </c>
      <c r="C6" t="s">
        <v>30</v>
      </c>
      <c r="D6" t="s">
        <v>31</v>
      </c>
      <c r="E6">
        <v>30</v>
      </c>
      <c r="F6">
        <v>35000</v>
      </c>
      <c r="G6" t="s">
        <v>32</v>
      </c>
      <c r="H6">
        <v>6</v>
      </c>
    </row>
    <row r="7" spans="1:19" x14ac:dyDescent="0.35">
      <c r="A7" t="s">
        <v>33</v>
      </c>
      <c r="B7" t="s">
        <v>34</v>
      </c>
      <c r="C7" t="s">
        <v>10</v>
      </c>
      <c r="D7" t="s">
        <v>35</v>
      </c>
      <c r="E7">
        <v>27</v>
      </c>
      <c r="F7">
        <v>28000</v>
      </c>
      <c r="G7" t="s">
        <v>36</v>
      </c>
      <c r="H7">
        <v>3</v>
      </c>
    </row>
    <row r="8" spans="1:19" x14ac:dyDescent="0.35">
      <c r="A8" t="s">
        <v>37</v>
      </c>
      <c r="B8" t="s">
        <v>38</v>
      </c>
      <c r="C8" t="s">
        <v>20</v>
      </c>
      <c r="D8" t="s">
        <v>39</v>
      </c>
      <c r="E8">
        <v>35</v>
      </c>
      <c r="F8">
        <v>50000</v>
      </c>
      <c r="G8" t="s">
        <v>40</v>
      </c>
      <c r="H8">
        <v>10</v>
      </c>
    </row>
    <row r="9" spans="1:19" x14ac:dyDescent="0.35">
      <c r="A9" t="s">
        <v>41</v>
      </c>
      <c r="B9" t="s">
        <v>42</v>
      </c>
      <c r="C9" t="s">
        <v>15</v>
      </c>
      <c r="D9" t="s">
        <v>43</v>
      </c>
      <c r="E9">
        <v>32</v>
      </c>
      <c r="F9">
        <v>45000</v>
      </c>
      <c r="G9" t="s">
        <v>44</v>
      </c>
      <c r="H9">
        <v>8</v>
      </c>
      <c r="J9" s="1" t="s">
        <v>202</v>
      </c>
      <c r="K9" s="1" t="s">
        <v>1</v>
      </c>
      <c r="L9" s="1" t="s">
        <v>2</v>
      </c>
      <c r="M9" s="1" t="s">
        <v>6</v>
      </c>
      <c r="N9" s="1" t="s">
        <v>5</v>
      </c>
      <c r="O9" s="1" t="s">
        <v>203</v>
      </c>
      <c r="P9" s="1" t="s">
        <v>204</v>
      </c>
      <c r="Q9" s="1" t="s">
        <v>205</v>
      </c>
      <c r="R9" s="1" t="s">
        <v>206</v>
      </c>
      <c r="S9" s="1" t="s">
        <v>207</v>
      </c>
    </row>
    <row r="10" spans="1:19" x14ac:dyDescent="0.35">
      <c r="A10" t="s">
        <v>45</v>
      </c>
      <c r="B10" t="s">
        <v>46</v>
      </c>
      <c r="C10" t="s">
        <v>25</v>
      </c>
      <c r="D10" t="s">
        <v>47</v>
      </c>
      <c r="E10">
        <v>23</v>
      </c>
      <c r="F10">
        <v>20000</v>
      </c>
      <c r="G10" t="s">
        <v>48</v>
      </c>
      <c r="H10">
        <v>1</v>
      </c>
      <c r="J10" s="1" t="s">
        <v>34</v>
      </c>
      <c r="K10" s="1" t="e">
        <f>INDEX(B2:B51,MATCH($J$10,$A$2:$A$51,0))</f>
        <v>#N/A</v>
      </c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t="s">
        <v>49</v>
      </c>
      <c r="B11" t="s">
        <v>50</v>
      </c>
      <c r="C11" t="s">
        <v>30</v>
      </c>
      <c r="D11" t="s">
        <v>51</v>
      </c>
      <c r="E11">
        <v>38</v>
      </c>
      <c r="F11">
        <v>60000</v>
      </c>
      <c r="G11" t="s">
        <v>52</v>
      </c>
      <c r="H11">
        <v>12</v>
      </c>
    </row>
    <row r="12" spans="1:19" x14ac:dyDescent="0.35">
      <c r="A12" t="s">
        <v>53</v>
      </c>
      <c r="B12" t="s">
        <v>54</v>
      </c>
      <c r="C12" t="s">
        <v>20</v>
      </c>
      <c r="D12" t="s">
        <v>55</v>
      </c>
      <c r="E12">
        <v>29</v>
      </c>
      <c r="F12">
        <v>42000</v>
      </c>
      <c r="G12" t="s">
        <v>56</v>
      </c>
      <c r="H12">
        <v>5</v>
      </c>
    </row>
    <row r="13" spans="1:19" x14ac:dyDescent="0.35">
      <c r="A13" t="s">
        <v>57</v>
      </c>
      <c r="B13" t="s">
        <v>58</v>
      </c>
      <c r="C13" t="s">
        <v>10</v>
      </c>
      <c r="D13" t="s">
        <v>59</v>
      </c>
      <c r="E13">
        <v>40</v>
      </c>
      <c r="F13">
        <v>65000</v>
      </c>
      <c r="G13" t="s">
        <v>60</v>
      </c>
      <c r="H13">
        <v>15</v>
      </c>
    </row>
    <row r="14" spans="1:19" x14ac:dyDescent="0.35">
      <c r="A14" t="s">
        <v>61</v>
      </c>
      <c r="B14" t="s">
        <v>62</v>
      </c>
      <c r="C14" t="s">
        <v>15</v>
      </c>
      <c r="D14" t="s">
        <v>63</v>
      </c>
      <c r="E14">
        <v>26</v>
      </c>
      <c r="F14">
        <v>23000</v>
      </c>
      <c r="G14" t="s">
        <v>12</v>
      </c>
      <c r="H14">
        <v>2</v>
      </c>
    </row>
    <row r="15" spans="1:19" x14ac:dyDescent="0.35">
      <c r="A15" t="s">
        <v>64</v>
      </c>
      <c r="B15" t="s">
        <v>65</v>
      </c>
      <c r="C15" t="s">
        <v>25</v>
      </c>
      <c r="D15" t="s">
        <v>66</v>
      </c>
      <c r="E15">
        <v>25</v>
      </c>
      <c r="F15">
        <v>26000</v>
      </c>
      <c r="G15" t="s">
        <v>67</v>
      </c>
      <c r="H15">
        <v>2</v>
      </c>
    </row>
    <row r="16" spans="1:19" x14ac:dyDescent="0.35">
      <c r="A16" t="s">
        <v>68</v>
      </c>
      <c r="B16" t="s">
        <v>69</v>
      </c>
      <c r="C16" t="s">
        <v>30</v>
      </c>
      <c r="D16" t="s">
        <v>31</v>
      </c>
      <c r="E16">
        <v>28</v>
      </c>
      <c r="F16">
        <v>33000</v>
      </c>
      <c r="G16" t="s">
        <v>70</v>
      </c>
      <c r="H16">
        <v>4</v>
      </c>
    </row>
    <row r="17" spans="1:8" x14ac:dyDescent="0.35">
      <c r="A17" t="s">
        <v>71</v>
      </c>
      <c r="B17" t="s">
        <v>72</v>
      </c>
      <c r="C17" t="s">
        <v>20</v>
      </c>
      <c r="D17" t="s">
        <v>73</v>
      </c>
      <c r="E17">
        <v>27</v>
      </c>
      <c r="F17">
        <v>30000</v>
      </c>
      <c r="G17" t="s">
        <v>74</v>
      </c>
      <c r="H17">
        <v>3</v>
      </c>
    </row>
    <row r="18" spans="1:8" x14ac:dyDescent="0.35">
      <c r="A18" t="s">
        <v>75</v>
      </c>
      <c r="B18" t="s">
        <v>76</v>
      </c>
      <c r="C18" t="s">
        <v>15</v>
      </c>
      <c r="D18" t="s">
        <v>77</v>
      </c>
      <c r="E18">
        <v>31</v>
      </c>
      <c r="F18">
        <v>38000</v>
      </c>
      <c r="G18" t="s">
        <v>78</v>
      </c>
      <c r="H18">
        <v>7</v>
      </c>
    </row>
    <row r="19" spans="1:8" x14ac:dyDescent="0.35">
      <c r="A19" t="s">
        <v>79</v>
      </c>
      <c r="B19" t="s">
        <v>80</v>
      </c>
      <c r="C19" t="s">
        <v>10</v>
      </c>
      <c r="D19" t="s">
        <v>81</v>
      </c>
      <c r="E19">
        <v>24</v>
      </c>
      <c r="F19">
        <v>21000</v>
      </c>
      <c r="G19" t="s">
        <v>82</v>
      </c>
      <c r="H19">
        <v>1</v>
      </c>
    </row>
    <row r="20" spans="1:8" x14ac:dyDescent="0.35">
      <c r="A20" t="s">
        <v>83</v>
      </c>
      <c r="B20" t="s">
        <v>84</v>
      </c>
      <c r="C20" t="s">
        <v>25</v>
      </c>
      <c r="D20" t="s">
        <v>85</v>
      </c>
      <c r="E20">
        <v>34</v>
      </c>
      <c r="F20">
        <v>48000</v>
      </c>
      <c r="G20" t="s">
        <v>86</v>
      </c>
      <c r="H20">
        <v>9</v>
      </c>
    </row>
    <row r="21" spans="1:8" x14ac:dyDescent="0.35">
      <c r="A21" t="s">
        <v>87</v>
      </c>
      <c r="B21" t="s">
        <v>88</v>
      </c>
      <c r="C21" t="s">
        <v>30</v>
      </c>
      <c r="D21" t="s">
        <v>89</v>
      </c>
      <c r="E21">
        <v>42</v>
      </c>
      <c r="F21">
        <v>70000</v>
      </c>
      <c r="G21" t="s">
        <v>12</v>
      </c>
      <c r="H21">
        <v>18</v>
      </c>
    </row>
    <row r="22" spans="1:8" x14ac:dyDescent="0.35">
      <c r="A22" t="s">
        <v>90</v>
      </c>
      <c r="B22" t="s">
        <v>91</v>
      </c>
      <c r="C22" t="s">
        <v>15</v>
      </c>
      <c r="D22" t="s">
        <v>16</v>
      </c>
      <c r="E22">
        <v>29</v>
      </c>
      <c r="F22">
        <v>34000</v>
      </c>
      <c r="G22" t="s">
        <v>92</v>
      </c>
      <c r="H22">
        <v>5</v>
      </c>
    </row>
    <row r="23" spans="1:8" x14ac:dyDescent="0.35">
      <c r="A23" t="s">
        <v>93</v>
      </c>
      <c r="B23" t="s">
        <v>94</v>
      </c>
      <c r="C23" t="s">
        <v>20</v>
      </c>
      <c r="D23" t="s">
        <v>95</v>
      </c>
      <c r="E23">
        <v>26</v>
      </c>
      <c r="F23">
        <v>41000</v>
      </c>
      <c r="G23" t="s">
        <v>96</v>
      </c>
      <c r="H23">
        <v>3</v>
      </c>
    </row>
    <row r="24" spans="1:8" x14ac:dyDescent="0.35">
      <c r="A24" t="s">
        <v>97</v>
      </c>
      <c r="B24" t="s">
        <v>98</v>
      </c>
      <c r="C24" t="s">
        <v>30</v>
      </c>
      <c r="D24" t="s">
        <v>31</v>
      </c>
      <c r="E24">
        <v>27</v>
      </c>
      <c r="F24">
        <v>29000</v>
      </c>
      <c r="G24" t="s">
        <v>99</v>
      </c>
      <c r="H24">
        <v>3</v>
      </c>
    </row>
    <row r="25" spans="1:8" x14ac:dyDescent="0.35">
      <c r="A25" t="s">
        <v>100</v>
      </c>
      <c r="B25" t="s">
        <v>101</v>
      </c>
      <c r="C25" t="s">
        <v>10</v>
      </c>
      <c r="D25" t="s">
        <v>11</v>
      </c>
      <c r="E25">
        <v>28</v>
      </c>
      <c r="F25">
        <v>30000</v>
      </c>
      <c r="G25" t="s">
        <v>102</v>
      </c>
      <c r="H25">
        <v>4</v>
      </c>
    </row>
    <row r="26" spans="1:8" x14ac:dyDescent="0.35">
      <c r="A26" t="s">
        <v>103</v>
      </c>
      <c r="B26" t="s">
        <v>104</v>
      </c>
      <c r="C26" t="s">
        <v>15</v>
      </c>
      <c r="D26" t="s">
        <v>105</v>
      </c>
      <c r="E26">
        <v>45</v>
      </c>
      <c r="F26">
        <v>90000</v>
      </c>
      <c r="G26" t="s">
        <v>106</v>
      </c>
      <c r="H26">
        <v>20</v>
      </c>
    </row>
    <row r="27" spans="1:8" x14ac:dyDescent="0.35">
      <c r="A27" t="s">
        <v>107</v>
      </c>
      <c r="B27" t="s">
        <v>108</v>
      </c>
      <c r="C27" t="s">
        <v>25</v>
      </c>
      <c r="D27" t="s">
        <v>109</v>
      </c>
      <c r="E27">
        <v>23</v>
      </c>
      <c r="F27">
        <v>19000</v>
      </c>
      <c r="G27" t="s">
        <v>110</v>
      </c>
      <c r="H27">
        <v>1</v>
      </c>
    </row>
    <row r="28" spans="1:8" x14ac:dyDescent="0.35">
      <c r="A28" t="s">
        <v>111</v>
      </c>
      <c r="B28" t="s">
        <v>112</v>
      </c>
      <c r="C28" t="s">
        <v>20</v>
      </c>
      <c r="D28" t="s">
        <v>113</v>
      </c>
      <c r="E28">
        <v>36</v>
      </c>
      <c r="F28">
        <v>55000</v>
      </c>
      <c r="G28" t="s">
        <v>114</v>
      </c>
      <c r="H28">
        <v>11</v>
      </c>
    </row>
    <row r="29" spans="1:8" x14ac:dyDescent="0.35">
      <c r="A29" t="s">
        <v>115</v>
      </c>
      <c r="B29" t="s">
        <v>116</v>
      </c>
      <c r="C29" t="s">
        <v>10</v>
      </c>
      <c r="D29" t="s">
        <v>35</v>
      </c>
      <c r="E29">
        <v>26</v>
      </c>
      <c r="F29">
        <v>27000</v>
      </c>
      <c r="G29" t="s">
        <v>117</v>
      </c>
      <c r="H29">
        <v>2</v>
      </c>
    </row>
    <row r="30" spans="1:8" x14ac:dyDescent="0.35">
      <c r="A30" t="s">
        <v>118</v>
      </c>
      <c r="B30" t="s">
        <v>119</v>
      </c>
      <c r="C30" t="s">
        <v>30</v>
      </c>
      <c r="D30" t="s">
        <v>120</v>
      </c>
      <c r="E30">
        <v>33</v>
      </c>
      <c r="F30">
        <v>47000</v>
      </c>
      <c r="G30" t="s">
        <v>121</v>
      </c>
      <c r="H30">
        <v>8</v>
      </c>
    </row>
    <row r="31" spans="1:8" x14ac:dyDescent="0.35">
      <c r="A31" t="s">
        <v>122</v>
      </c>
      <c r="B31" t="s">
        <v>123</v>
      </c>
      <c r="C31" t="s">
        <v>15</v>
      </c>
      <c r="D31" t="s">
        <v>124</v>
      </c>
      <c r="E31">
        <v>39</v>
      </c>
      <c r="F31">
        <v>62000</v>
      </c>
      <c r="G31" t="s">
        <v>125</v>
      </c>
      <c r="H31">
        <v>14</v>
      </c>
    </row>
    <row r="32" spans="1:8" x14ac:dyDescent="0.35">
      <c r="A32" t="s">
        <v>126</v>
      </c>
      <c r="B32" t="s">
        <v>127</v>
      </c>
      <c r="C32" t="s">
        <v>20</v>
      </c>
      <c r="D32" t="s">
        <v>128</v>
      </c>
      <c r="E32">
        <v>31</v>
      </c>
      <c r="F32">
        <v>52000</v>
      </c>
      <c r="G32" t="s">
        <v>129</v>
      </c>
      <c r="H32">
        <v>7</v>
      </c>
    </row>
    <row r="33" spans="1:8" x14ac:dyDescent="0.35">
      <c r="A33" t="s">
        <v>130</v>
      </c>
      <c r="B33" t="s">
        <v>131</v>
      </c>
      <c r="C33" t="s">
        <v>25</v>
      </c>
      <c r="D33" t="s">
        <v>132</v>
      </c>
      <c r="E33">
        <v>28</v>
      </c>
      <c r="F33">
        <v>31000</v>
      </c>
      <c r="G33" t="s">
        <v>133</v>
      </c>
      <c r="H33">
        <v>4</v>
      </c>
    </row>
    <row r="34" spans="1:8" x14ac:dyDescent="0.35">
      <c r="A34" t="s">
        <v>134</v>
      </c>
      <c r="B34" t="s">
        <v>135</v>
      </c>
      <c r="C34" t="s">
        <v>30</v>
      </c>
      <c r="D34" t="s">
        <v>31</v>
      </c>
      <c r="E34">
        <v>25</v>
      </c>
      <c r="F34">
        <v>26000</v>
      </c>
      <c r="G34" t="s">
        <v>136</v>
      </c>
      <c r="H34">
        <v>2</v>
      </c>
    </row>
    <row r="35" spans="1:8" x14ac:dyDescent="0.35">
      <c r="A35" t="s">
        <v>137</v>
      </c>
      <c r="B35" t="s">
        <v>138</v>
      </c>
      <c r="C35" t="s">
        <v>10</v>
      </c>
      <c r="D35" t="s">
        <v>59</v>
      </c>
      <c r="E35">
        <v>37</v>
      </c>
      <c r="F35">
        <v>58000</v>
      </c>
      <c r="G35" t="s">
        <v>139</v>
      </c>
      <c r="H35">
        <v>12</v>
      </c>
    </row>
    <row r="36" spans="1:8" x14ac:dyDescent="0.35">
      <c r="A36" t="s">
        <v>140</v>
      </c>
      <c r="B36" t="s">
        <v>141</v>
      </c>
      <c r="C36" t="s">
        <v>15</v>
      </c>
      <c r="D36" t="s">
        <v>142</v>
      </c>
      <c r="E36">
        <v>29</v>
      </c>
      <c r="F36">
        <v>33000</v>
      </c>
      <c r="G36" t="s">
        <v>143</v>
      </c>
      <c r="H36">
        <v>5</v>
      </c>
    </row>
    <row r="37" spans="1:8" x14ac:dyDescent="0.35">
      <c r="A37" t="s">
        <v>144</v>
      </c>
      <c r="B37" t="s">
        <v>145</v>
      </c>
      <c r="C37" t="s">
        <v>20</v>
      </c>
      <c r="D37" t="s">
        <v>146</v>
      </c>
      <c r="E37">
        <v>27</v>
      </c>
      <c r="F37">
        <v>36000</v>
      </c>
      <c r="G37" t="s">
        <v>147</v>
      </c>
      <c r="H37">
        <v>3</v>
      </c>
    </row>
    <row r="38" spans="1:8" x14ac:dyDescent="0.35">
      <c r="A38" t="s">
        <v>148</v>
      </c>
      <c r="B38" t="s">
        <v>149</v>
      </c>
      <c r="C38" t="s">
        <v>25</v>
      </c>
      <c r="D38" t="s">
        <v>150</v>
      </c>
      <c r="E38">
        <v>24</v>
      </c>
      <c r="F38">
        <v>21000</v>
      </c>
      <c r="G38" t="s">
        <v>151</v>
      </c>
      <c r="H38">
        <v>1</v>
      </c>
    </row>
    <row r="39" spans="1:8" x14ac:dyDescent="0.35">
      <c r="A39" t="s">
        <v>152</v>
      </c>
      <c r="B39" t="s">
        <v>153</v>
      </c>
      <c r="C39" t="s">
        <v>30</v>
      </c>
      <c r="D39" t="s">
        <v>154</v>
      </c>
      <c r="E39">
        <v>41</v>
      </c>
      <c r="F39">
        <v>68000</v>
      </c>
      <c r="G39" t="s">
        <v>155</v>
      </c>
      <c r="H39">
        <v>17</v>
      </c>
    </row>
    <row r="40" spans="1:8" x14ac:dyDescent="0.35">
      <c r="A40" t="s">
        <v>156</v>
      </c>
      <c r="B40" t="s">
        <v>157</v>
      </c>
      <c r="C40" t="s">
        <v>15</v>
      </c>
      <c r="D40" t="s">
        <v>158</v>
      </c>
      <c r="E40">
        <v>34</v>
      </c>
      <c r="F40">
        <v>46000</v>
      </c>
      <c r="G40" t="s">
        <v>159</v>
      </c>
      <c r="H40">
        <v>9</v>
      </c>
    </row>
    <row r="41" spans="1:8" x14ac:dyDescent="0.35">
      <c r="A41" t="s">
        <v>160</v>
      </c>
      <c r="B41" t="s">
        <v>161</v>
      </c>
      <c r="C41" t="s">
        <v>20</v>
      </c>
      <c r="D41" t="s">
        <v>162</v>
      </c>
      <c r="E41">
        <v>30</v>
      </c>
      <c r="F41">
        <v>49000</v>
      </c>
      <c r="G41" t="s">
        <v>163</v>
      </c>
      <c r="H41">
        <v>6</v>
      </c>
    </row>
    <row r="42" spans="1:8" x14ac:dyDescent="0.35">
      <c r="A42" t="s">
        <v>164</v>
      </c>
      <c r="B42" t="s">
        <v>165</v>
      </c>
      <c r="C42" t="s">
        <v>10</v>
      </c>
      <c r="D42" t="s">
        <v>81</v>
      </c>
      <c r="E42">
        <v>25</v>
      </c>
      <c r="F42">
        <v>24000</v>
      </c>
      <c r="G42" t="s">
        <v>166</v>
      </c>
      <c r="H42">
        <v>2</v>
      </c>
    </row>
    <row r="43" spans="1:8" x14ac:dyDescent="0.35">
      <c r="A43" t="s">
        <v>167</v>
      </c>
      <c r="B43" t="s">
        <v>168</v>
      </c>
      <c r="C43" t="s">
        <v>30</v>
      </c>
      <c r="D43" t="s">
        <v>31</v>
      </c>
      <c r="E43">
        <v>28</v>
      </c>
      <c r="F43">
        <v>31000</v>
      </c>
      <c r="G43" t="s">
        <v>169</v>
      </c>
      <c r="H43">
        <v>4</v>
      </c>
    </row>
    <row r="44" spans="1:8" x14ac:dyDescent="0.35">
      <c r="A44" t="s">
        <v>170</v>
      </c>
      <c r="B44" t="s">
        <v>171</v>
      </c>
      <c r="C44" t="s">
        <v>25</v>
      </c>
      <c r="D44" t="s">
        <v>172</v>
      </c>
      <c r="E44">
        <v>26</v>
      </c>
      <c r="F44">
        <v>27000</v>
      </c>
      <c r="G44" t="s">
        <v>173</v>
      </c>
      <c r="H44">
        <v>3</v>
      </c>
    </row>
    <row r="45" spans="1:8" x14ac:dyDescent="0.35">
      <c r="A45" t="s">
        <v>174</v>
      </c>
      <c r="B45" t="s">
        <v>175</v>
      </c>
      <c r="C45" t="s">
        <v>20</v>
      </c>
      <c r="D45" t="s">
        <v>176</v>
      </c>
      <c r="E45">
        <v>35</v>
      </c>
      <c r="F45">
        <v>65000</v>
      </c>
      <c r="G45" t="s">
        <v>177</v>
      </c>
      <c r="H45">
        <v>10</v>
      </c>
    </row>
    <row r="46" spans="1:8" x14ac:dyDescent="0.35">
      <c r="A46" t="s">
        <v>178</v>
      </c>
      <c r="B46" t="s">
        <v>179</v>
      </c>
      <c r="C46" t="s">
        <v>15</v>
      </c>
      <c r="D46" t="s">
        <v>180</v>
      </c>
      <c r="E46">
        <v>38</v>
      </c>
      <c r="F46">
        <v>59000</v>
      </c>
      <c r="G46" t="s">
        <v>181</v>
      </c>
      <c r="H46">
        <v>13</v>
      </c>
    </row>
    <row r="47" spans="1:8" x14ac:dyDescent="0.35">
      <c r="A47" t="s">
        <v>182</v>
      </c>
      <c r="B47" t="s">
        <v>183</v>
      </c>
      <c r="C47" t="s">
        <v>30</v>
      </c>
      <c r="D47" t="s">
        <v>31</v>
      </c>
      <c r="E47">
        <v>24</v>
      </c>
      <c r="F47">
        <v>22000</v>
      </c>
      <c r="G47" t="s">
        <v>184</v>
      </c>
      <c r="H47">
        <v>1</v>
      </c>
    </row>
    <row r="48" spans="1:8" x14ac:dyDescent="0.35">
      <c r="A48" t="s">
        <v>185</v>
      </c>
      <c r="B48" t="s">
        <v>186</v>
      </c>
      <c r="C48" t="s">
        <v>10</v>
      </c>
      <c r="D48" t="s">
        <v>187</v>
      </c>
      <c r="E48">
        <v>29</v>
      </c>
      <c r="F48">
        <v>32000</v>
      </c>
      <c r="G48" t="s">
        <v>188</v>
      </c>
      <c r="H48">
        <v>5</v>
      </c>
    </row>
    <row r="49" spans="1:8" x14ac:dyDescent="0.35">
      <c r="A49" t="s">
        <v>189</v>
      </c>
      <c r="B49" t="s">
        <v>190</v>
      </c>
      <c r="C49" t="s">
        <v>20</v>
      </c>
      <c r="D49" t="s">
        <v>191</v>
      </c>
      <c r="E49">
        <v>34</v>
      </c>
      <c r="F49">
        <v>61000</v>
      </c>
      <c r="G49" t="s">
        <v>192</v>
      </c>
      <c r="H49">
        <v>9</v>
      </c>
    </row>
    <row r="50" spans="1:8" x14ac:dyDescent="0.35">
      <c r="A50" t="s">
        <v>193</v>
      </c>
      <c r="B50" t="s">
        <v>194</v>
      </c>
      <c r="C50" t="s">
        <v>25</v>
      </c>
      <c r="D50" t="s">
        <v>195</v>
      </c>
      <c r="E50">
        <v>31</v>
      </c>
      <c r="F50">
        <v>44000</v>
      </c>
      <c r="G50" t="s">
        <v>196</v>
      </c>
      <c r="H50">
        <v>7</v>
      </c>
    </row>
    <row r="51" spans="1:8" x14ac:dyDescent="0.35">
      <c r="A51" t="s">
        <v>197</v>
      </c>
      <c r="B51" t="s">
        <v>198</v>
      </c>
      <c r="C51" t="s">
        <v>15</v>
      </c>
      <c r="D51" t="s">
        <v>199</v>
      </c>
      <c r="E51">
        <v>43</v>
      </c>
      <c r="F51">
        <v>82000</v>
      </c>
      <c r="G51" t="s">
        <v>200</v>
      </c>
      <c r="H5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2026-02-02T08:21:25Z</dcterms:created>
  <dcterms:modified xsi:type="dcterms:W3CDTF">2026-02-04T10:01:23Z</dcterms:modified>
</cp:coreProperties>
</file>