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Git_alldata\Excel\"/>
    </mc:Choice>
  </mc:AlternateContent>
  <bookViews>
    <workbookView xWindow="0" yWindow="0" windowWidth="19200" windowHeight="6900" activeTab="4"/>
  </bookViews>
  <sheets>
    <sheet name="Main data" sheetId="1" r:id="rId1"/>
    <sheet name="Descriptive statistic" sheetId="2" r:id="rId2"/>
    <sheet name="Linear regression" sheetId="6" r:id="rId3"/>
    <sheet name="Pivote table" sheetId="3" r:id="rId4"/>
    <sheet name="Dash  board" sheetId="4" r:id="rId5"/>
  </sheets>
  <definedNames>
    <definedName name="Slicer_Product_Category">#N/A</definedName>
    <definedName name="Slicer_Region">#N/A</definedName>
  </definedNames>
  <calcPr calcId="162913"/>
  <pivotCaches>
    <pivotCache cacheId="2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8" i="1" l="1"/>
  <c r="P10" i="1" s="1"/>
  <c r="Q18" i="1" s="1"/>
  <c r="O2" i="1" l="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L17" i="1"/>
  <c r="J17" i="1"/>
  <c r="L16" i="1"/>
  <c r="M17" i="1" s="1"/>
  <c r="J16" i="1"/>
  <c r="L15" i="1"/>
  <c r="M16" i="1" s="1"/>
  <c r="J15" i="1"/>
  <c r="M14" i="1"/>
  <c r="L14" i="1"/>
  <c r="M15" i="1" s="1"/>
  <c r="J14" i="1"/>
  <c r="L13" i="1"/>
  <c r="J13" i="1"/>
  <c r="L12" i="1"/>
  <c r="M13" i="1" s="1"/>
  <c r="J12" i="1"/>
  <c r="L11" i="1"/>
  <c r="M12" i="1" s="1"/>
  <c r="J11" i="1"/>
  <c r="L10" i="1"/>
  <c r="M11" i="1" s="1"/>
  <c r="J10" i="1"/>
  <c r="L9" i="1"/>
  <c r="M10" i="1" s="1"/>
  <c r="J9" i="1"/>
  <c r="L8" i="1"/>
  <c r="M9" i="1" s="1"/>
  <c r="J8" i="1"/>
  <c r="L7" i="1"/>
  <c r="M8" i="1" s="1"/>
  <c r="J7" i="1"/>
  <c r="M6" i="1"/>
  <c r="L6" i="1"/>
  <c r="M7" i="1" s="1"/>
  <c r="J6" i="1"/>
  <c r="L5" i="1"/>
  <c r="J5" i="1"/>
  <c r="L4" i="1"/>
  <c r="M5" i="1" s="1"/>
  <c r="J4" i="1"/>
  <c r="L3" i="1"/>
  <c r="M4" i="1" s="1"/>
  <c r="J3" i="1"/>
  <c r="N2" i="1"/>
  <c r="L2" i="1"/>
  <c r="M3" i="1" s="1"/>
  <c r="J2" i="1"/>
</calcChain>
</file>

<file path=xl/sharedStrings.xml><?xml version="1.0" encoding="utf-8"?>
<sst xmlns="http://schemas.openxmlformats.org/spreadsheetml/2006/main" count="964" uniqueCount="299">
  <si>
    <t>Customer_ID</t>
  </si>
  <si>
    <t>Customer_Name</t>
  </si>
  <si>
    <t>Region</t>
  </si>
  <si>
    <t>Product_Category</t>
  </si>
  <si>
    <t>Sales</t>
  </si>
  <si>
    <t>Quantity</t>
  </si>
  <si>
    <t>Discount</t>
  </si>
  <si>
    <t>Order_Date</t>
  </si>
  <si>
    <t>Profit</t>
  </si>
  <si>
    <t>Total Purchase</t>
  </si>
  <si>
    <t>Month</t>
  </si>
  <si>
    <t>Monthely growth</t>
  </si>
  <si>
    <t>Growth in %</t>
  </si>
  <si>
    <t>Time stamp</t>
  </si>
  <si>
    <t>High value customer's</t>
  </si>
  <si>
    <t>CUST01</t>
  </si>
  <si>
    <t>James Davis</t>
  </si>
  <si>
    <t>West</t>
  </si>
  <si>
    <t>Books</t>
  </si>
  <si>
    <t>CUST02</t>
  </si>
  <si>
    <t>Robert Anderson</t>
  </si>
  <si>
    <t>Clothing</t>
  </si>
  <si>
    <t>CUST03</t>
  </si>
  <si>
    <t>James Taylor</t>
  </si>
  <si>
    <t>East</t>
  </si>
  <si>
    <t>CUST04</t>
  </si>
  <si>
    <t>South</t>
  </si>
  <si>
    <t>Electronics</t>
  </si>
  <si>
    <t>CUST05</t>
  </si>
  <si>
    <t>James Wilson</t>
  </si>
  <si>
    <t>North</t>
  </si>
  <si>
    <t>CUST06</t>
  </si>
  <si>
    <t>Michael Anderson</t>
  </si>
  <si>
    <t>Furniture</t>
  </si>
  <si>
    <t>CUST07</t>
  </si>
  <si>
    <t>Linda Wilson</t>
  </si>
  <si>
    <t>CUST08</t>
  </si>
  <si>
    <t>Mary Davis</t>
  </si>
  <si>
    <t>CUST09</t>
  </si>
  <si>
    <t>Linda Jackson</t>
  </si>
  <si>
    <t>Central</t>
  </si>
  <si>
    <t>CUST10</t>
  </si>
  <si>
    <t>David Thomas</t>
  </si>
  <si>
    <t>CUST11</t>
  </si>
  <si>
    <t>Emma Davis</t>
  </si>
  <si>
    <t>Office Supplies</t>
  </si>
  <si>
    <t>CUST12</t>
  </si>
  <si>
    <t>CUST13</t>
  </si>
  <si>
    <t>CUST14</t>
  </si>
  <si>
    <t>CUST15</t>
  </si>
  <si>
    <t>David Smith</t>
  </si>
  <si>
    <t>CUST16</t>
  </si>
  <si>
    <t>Sarah Anderson</t>
  </si>
  <si>
    <t>CUST17</t>
  </si>
  <si>
    <t>CUST18</t>
  </si>
  <si>
    <t>Lisa Thomas</t>
  </si>
  <si>
    <t>CUST19</t>
  </si>
  <si>
    <t>Mary Jackson</t>
  </si>
  <si>
    <t>CUST20</t>
  </si>
  <si>
    <t>CUST21</t>
  </si>
  <si>
    <t>Lisa Davis</t>
  </si>
  <si>
    <t>CUST22</t>
  </si>
  <si>
    <t>CUST23</t>
  </si>
  <si>
    <t>CUST24</t>
  </si>
  <si>
    <t>CUST25</t>
  </si>
  <si>
    <t>CUST26</t>
  </si>
  <si>
    <t>Linda Brown</t>
  </si>
  <si>
    <t>CUST27</t>
  </si>
  <si>
    <t>John Brown</t>
  </si>
  <si>
    <t>CUST28</t>
  </si>
  <si>
    <t>CUST29</t>
  </si>
  <si>
    <t>Linda Taylor</t>
  </si>
  <si>
    <t>CUST30</t>
  </si>
  <si>
    <t>CUST31</t>
  </si>
  <si>
    <t>David Brown</t>
  </si>
  <si>
    <t>CUST32</t>
  </si>
  <si>
    <t>David Davis</t>
  </si>
  <si>
    <t>CUST33</t>
  </si>
  <si>
    <t>CUST34</t>
  </si>
  <si>
    <t>CUST35</t>
  </si>
  <si>
    <t>CUST36</t>
  </si>
  <si>
    <t>CUST37</t>
  </si>
  <si>
    <t>CUST38</t>
  </si>
  <si>
    <t>CUST39</t>
  </si>
  <si>
    <t>Mary Wilson</t>
  </si>
  <si>
    <t>CUST40</t>
  </si>
  <si>
    <t>Emma Wilson</t>
  </si>
  <si>
    <t>CUST41</t>
  </si>
  <si>
    <t>CUST42</t>
  </si>
  <si>
    <t>CUST43</t>
  </si>
  <si>
    <t>CUST44</t>
  </si>
  <si>
    <t>CUST45</t>
  </si>
  <si>
    <t>CUST46</t>
  </si>
  <si>
    <t>Linda Davis</t>
  </si>
  <si>
    <t>CUST47</t>
  </si>
  <si>
    <t>CUST48</t>
  </si>
  <si>
    <t>CUST49</t>
  </si>
  <si>
    <t>CUST50</t>
  </si>
  <si>
    <t>CUST51</t>
  </si>
  <si>
    <t>CUST52</t>
  </si>
  <si>
    <t>CUST53</t>
  </si>
  <si>
    <t>Sarah Davis</t>
  </si>
  <si>
    <t>CUST54</t>
  </si>
  <si>
    <t>CUST55</t>
  </si>
  <si>
    <t>CUST56</t>
  </si>
  <si>
    <t>CUST57</t>
  </si>
  <si>
    <t>Emma Taylor</t>
  </si>
  <si>
    <t>CUST58</t>
  </si>
  <si>
    <t>CUST59</t>
  </si>
  <si>
    <t>CUST60</t>
  </si>
  <si>
    <t>CUST61</t>
  </si>
  <si>
    <t>CUST62</t>
  </si>
  <si>
    <t>CUST63</t>
  </si>
  <si>
    <t>CUST64</t>
  </si>
  <si>
    <t>CUST65</t>
  </si>
  <si>
    <t>CUST66</t>
  </si>
  <si>
    <t>CUST67</t>
  </si>
  <si>
    <t>CUST68</t>
  </si>
  <si>
    <t>CUST69</t>
  </si>
  <si>
    <t>CUST70</t>
  </si>
  <si>
    <t>CUST71</t>
  </si>
  <si>
    <t>CUST72</t>
  </si>
  <si>
    <t>Linda Moore</t>
  </si>
  <si>
    <t>CUST73</t>
  </si>
  <si>
    <t>CUST74</t>
  </si>
  <si>
    <t>David Anderson</t>
  </si>
  <si>
    <t>CUST75</t>
  </si>
  <si>
    <t>CUST76</t>
  </si>
  <si>
    <t>CUST77</t>
  </si>
  <si>
    <t>CUST78</t>
  </si>
  <si>
    <t>CUST79</t>
  </si>
  <si>
    <t>CUST80</t>
  </si>
  <si>
    <t>CUST81</t>
  </si>
  <si>
    <t>CUST82</t>
  </si>
  <si>
    <t>CUST83</t>
  </si>
  <si>
    <t>CUST84</t>
  </si>
  <si>
    <t>CUST85</t>
  </si>
  <si>
    <t>CUST86</t>
  </si>
  <si>
    <t>CUST87</t>
  </si>
  <si>
    <t>CUST88</t>
  </si>
  <si>
    <t>CUST89</t>
  </si>
  <si>
    <t>CUST90</t>
  </si>
  <si>
    <t>CUST91</t>
  </si>
  <si>
    <t>CUST92</t>
  </si>
  <si>
    <t>CUST93</t>
  </si>
  <si>
    <t>CUST94</t>
  </si>
  <si>
    <t>CUST95</t>
  </si>
  <si>
    <t>CUST96</t>
  </si>
  <si>
    <t>CUST97</t>
  </si>
  <si>
    <t>CUST98</t>
  </si>
  <si>
    <t>CUST99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</si>
  <si>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</si>
  <si>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</si>
  <si>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</si>
  <si>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</si>
  <si>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</si>
  <si>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</si>
  <si>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</si>
  <si>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</si>
  <si>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</si>
  <si>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</si>
  <si>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</si>
  <si>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</si>
  <si>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</si>
  <si>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</si>
  <si>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</si>
  <si>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</si>
  <si>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</si>
  <si>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</si>
  <si>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</si>
  <si>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</si>
  <si>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</si>
  <si>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</si>
  <si>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</si>
  <si>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</si>
  <si>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</si>
  <si>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</si>
  <si>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</si>
  <si>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</si>
  <si>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</si>
  <si>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</si>
  <si>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</si>
  <si>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</si>
  <si>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</si>
  <si>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</si>
  <si>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</si>
  <si>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</si>
  <si>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</si>
  <si>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</si>
  <si>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</si>
  <si>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</si>
  <si>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</si>
  <si>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</si>
  <si>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</si>
  <si>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</si>
  <si>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</si>
  <si>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</si>
  <si>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</si>
  <si>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</si>
  <si>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</si>
  <si>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</si>
  <si>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</si>
  <si>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</si>
  <si>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</si>
  <si>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</si>
  <si>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</si>
  <si>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</si>
  <si>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</si>
  <si>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</si>
  <si>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</si>
  <si>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</si>
  <si>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</si>
  <si>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</si>
  <si>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</si>
  <si>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</si>
  <si>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</si>
  <si>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</si>
  <si>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</si>
  <si>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</si>
  <si>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</si>
  <si>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</si>
  <si>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</si>
  <si>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</si>
  <si>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</si>
  <si>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</si>
  <si>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</si>
  <si>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</si>
  <si>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</si>
  <si>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</si>
  <si>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</si>
  <si>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</si>
  <si>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</si>
  <si>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</si>
  <si>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</si>
  <si>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</si>
  <si>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</si>
  <si>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</si>
  <si>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</si>
  <si>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</si>
  <si>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</si>
  <si>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</si>
  <si>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</si>
  <si>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</si>
  <si>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</si>
  <si>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</si>
  <si>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</si>
  <si>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</si>
  <si>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</si>
  <si>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</si>
  <si>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</si>
  <si>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</si>
  <si>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</si>
  <si>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Mean</t>
  </si>
  <si>
    <t>Standard Error</t>
  </si>
  <si>
    <t>Median</t>
  </si>
  <si>
    <t>Mode</t>
  </si>
  <si>
    <t>Standard Deviation</t>
  </si>
  <si>
    <t>Sample Variance</t>
  </si>
  <si>
    <t>Kurtosis</t>
  </si>
  <si>
    <t>Skewness</t>
  </si>
  <si>
    <t>Range</t>
  </si>
  <si>
    <t>Minimum</t>
  </si>
  <si>
    <t>Maximum</t>
  </si>
  <si>
    <t>Sum</t>
  </si>
  <si>
    <t>Count</t>
  </si>
  <si>
    <t>Sum of Sales</t>
  </si>
  <si>
    <t>Column Labels</t>
  </si>
  <si>
    <t>Row Labels</t>
  </si>
  <si>
    <t>Grand Total</t>
  </si>
  <si>
    <t>SALES PERFORMANCE DASHBOARD</t>
  </si>
  <si>
    <t>SUMMARY OUTPUT</t>
  </si>
  <si>
    <t>Regression Statistics</t>
  </si>
  <si>
    <t>Multiple R</t>
  </si>
  <si>
    <t>R Square</t>
  </si>
  <si>
    <t>Adjusted R Square</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</si>
  <si>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</si>
  <si>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</si>
  <si>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</si>
  <si>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</si>
  <si>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</si>
  <si>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</si>
  <si>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</si>
  <si>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</si>
  <si>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</si>
  <si>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</si>
  <si>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</si>
  <si>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</si>
  <si>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</si>
  <si>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</si>
  <si>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</si>
  <si>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</si>
  <si>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</si>
  <si>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</si>
  <si>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</si>
  <si>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WHAT IF ( Scenario Manager )</t>
  </si>
  <si>
    <t>Total Profit</t>
  </si>
  <si>
    <t>Final Profit</t>
  </si>
  <si>
    <t>WHAT IF ( Data Table )</t>
  </si>
  <si>
    <t>Fnal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</si>
</sst>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b/>
      <i/>
      <u/>
      <sz val="12"/>
      <color theme="1"/>
      <name val="Calibri"/>
      <family val="2"/>
      <scheme val="minor"/>
    </font>
    <font>
      <b/>
      <u/>
      <sz val="26"/>
      <color theme="2" tint="-0.89999084444715716"/>
      <name val="Calibri"/>
      <family val="2"/>
      <scheme val="minor"/>
    </font>
    <font>
      <b/>
      <u/>
      <sz val="14"/>
      <color theme="1"/>
      <name val="Calibri"/>
      <family val="2"/>
      <scheme val="minor"/>
    </font>
    <font>
      <i/>
      <sz val="11"/>
      <color theme="1"/>
      <name val="Calibri"/>
      <family val="2"/>
      <scheme val="minor"/>
    </font>
    <font>
      <sz val="11"/>
      <color theme="1"/>
      <name val="Calibri"/>
      <family val="2"/>
      <scheme val="minor"/>
    </font>
    <font>
      <b/>
      <sz val="11"/>
      <color theme="1"/>
      <name val="Calibri"/>
      <scheme val="minor"/>
    </font>
    <font>
      <b/>
      <sz val="14"/>
      <color theme="1"/>
      <name val="Calibri"/>
      <family val="2"/>
      <scheme val="minor"/>
    </font>
  </fonts>
  <fills count="17">
    <fill>
      <patternFill patternType="none"/>
    </fill>
    <fill>
      <patternFill patternType="gray125"/>
    </fill>
    <fill>
      <patternFill patternType="solid">
        <fgColor theme="5" tint="0.39997558519241921"/>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7"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6" fillId="0" borderId="0" applyFont="0" applyFill="0" applyBorder="0" applyAlignment="0" applyProtection="0"/>
  </cellStyleXfs>
  <cellXfs count="68">
    <xf numFmtId="0" fontId="0" fillId="0" borderId="0" xfId="0"/>
    <xf numFmtId="0" fontId="1" fillId="2" borderId="1" xfId="0" applyFont="1" applyFill="1" applyBorder="1" applyAlignment="1">
      <alignment vertical="center"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pplyAlignment="1">
      <alignment horizont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0" fillId="7" borderId="1" xfId="0" applyFill="1" applyBorder="1" applyAlignment="1">
      <alignment vertical="center" wrapText="1"/>
    </xf>
    <xf numFmtId="14" fontId="0" fillId="7" borderId="1" xfId="0" applyNumberFormat="1" applyFill="1" applyBorder="1" applyAlignment="1">
      <alignment vertical="center" wrapText="1"/>
    </xf>
    <xf numFmtId="0" fontId="0" fillId="8" borderId="1" xfId="0" applyFill="1" applyBorder="1"/>
    <xf numFmtId="17" fontId="0" fillId="9" borderId="1" xfId="0" applyNumberFormat="1" applyFill="1" applyBorder="1" applyAlignment="1">
      <alignment horizontal="center" vertical="center"/>
    </xf>
    <xf numFmtId="0" fontId="0" fillId="9" borderId="1" xfId="0" applyFill="1" applyBorder="1" applyAlignment="1">
      <alignment horizontal="right" vertical="center"/>
    </xf>
    <xf numFmtId="0" fontId="0" fillId="9" borderId="1" xfId="0" applyNumberFormat="1" applyFill="1" applyBorder="1" applyAlignment="1">
      <alignment horizontal="right" vertical="center"/>
    </xf>
    <xf numFmtId="22" fontId="0" fillId="10" borderId="1" xfId="0" applyNumberFormat="1" applyFill="1" applyBorder="1"/>
    <xf numFmtId="0" fontId="0" fillId="11" borderId="1" xfId="0" applyFill="1" applyBorder="1" applyAlignment="1">
      <alignment horizontal="center" vertical="center"/>
    </xf>
    <xf numFmtId="22" fontId="0" fillId="0" borderId="0" xfId="0" applyNumberFormat="1"/>
    <xf numFmtId="0" fontId="0" fillId="0" borderId="1" xfId="0" applyFill="1" applyBorder="1" applyAlignment="1"/>
    <xf numFmtId="0" fontId="0" fillId="9" borderId="1" xfId="0" applyFill="1" applyBorder="1" applyAlignment="1"/>
    <xf numFmtId="0" fontId="0" fillId="8" borderId="1" xfId="0" applyFill="1" applyBorder="1" applyAlignment="1"/>
    <xf numFmtId="0" fontId="0" fillId="13" borderId="1" xfId="0" applyFill="1" applyBorder="1" applyAlignment="1"/>
    <xf numFmtId="0" fontId="0" fillId="7" borderId="1" xfId="0" applyFill="1" applyBorder="1" applyAlignment="1"/>
    <xf numFmtId="0" fontId="0" fillId="10" borderId="1" xfId="0" applyFill="1" applyBorder="1" applyAlignment="1"/>
    <xf numFmtId="0" fontId="0" fillId="14" borderId="1" xfId="0" applyFill="1" applyBorder="1" applyAlignment="1"/>
    <xf numFmtId="0" fontId="0" fillId="0" borderId="1" xfId="0" applyBorder="1"/>
    <xf numFmtId="0" fontId="0" fillId="0" borderId="1" xfId="0" applyBorder="1" applyAlignment="1">
      <alignment horizontal="left"/>
    </xf>
    <xf numFmtId="0" fontId="0" fillId="0" borderId="1" xfId="0" applyNumberFormat="1" applyBorder="1"/>
    <xf numFmtId="0" fontId="0" fillId="0" borderId="1" xfId="0" pivotButton="1" applyBorder="1"/>
    <xf numFmtId="0" fontId="0" fillId="13" borderId="0" xfId="0" applyFill="1"/>
    <xf numFmtId="0" fontId="5" fillId="15" borderId="1" xfId="0" applyFont="1" applyFill="1" applyBorder="1" applyAlignment="1">
      <alignment horizontal="centerContinuous"/>
    </xf>
    <xf numFmtId="0" fontId="0" fillId="9" borderId="1" xfId="0" applyFill="1" applyBorder="1" applyAlignment="1">
      <alignment horizontal="center" vertical="center"/>
    </xf>
    <xf numFmtId="0" fontId="0" fillId="3" borderId="1" xfId="0" applyFill="1" applyBorder="1" applyAlignment="1">
      <alignment horizontal="center" vertical="center"/>
    </xf>
    <xf numFmtId="0" fontId="5" fillId="0" borderId="1" xfId="0" applyFont="1" applyFill="1" applyBorder="1" applyAlignment="1">
      <alignment horizontal="center"/>
    </xf>
    <xf numFmtId="0" fontId="5" fillId="16" borderId="1" xfId="0" applyFont="1" applyFill="1" applyBorder="1" applyAlignment="1">
      <alignment horizontal="center"/>
    </xf>
    <xf numFmtId="0" fontId="0" fillId="8" borderId="1" xfId="0" applyFill="1" applyBorder="1" applyAlignment="1">
      <alignment horizontal="center" vertical="center"/>
    </xf>
    <xf numFmtId="0" fontId="5" fillId="0" borderId="1" xfId="0" applyFont="1" applyFill="1" applyBorder="1" applyAlignment="1">
      <alignment horizontal="center" vertical="center"/>
    </xf>
    <xf numFmtId="0" fontId="5" fillId="5" borderId="1" xfId="0" applyFont="1" applyFill="1" applyBorder="1" applyAlignment="1">
      <alignment horizontal="center" vertical="center"/>
    </xf>
    <xf numFmtId="0" fontId="0" fillId="10" borderId="1" xfId="0" applyFill="1" applyBorder="1" applyAlignment="1">
      <alignment horizontal="center" vertical="center"/>
    </xf>
    <xf numFmtId="0" fontId="6" fillId="7" borderId="1" xfId="0" applyFont="1" applyFill="1" applyBorder="1" applyAlignment="1">
      <alignment horizontal="center" vertical="center"/>
    </xf>
    <xf numFmtId="1" fontId="0" fillId="7" borderId="1" xfId="0" applyNumberFormat="1" applyFill="1" applyBorder="1" applyAlignment="1">
      <alignment horizontal="center" vertical="center"/>
    </xf>
    <xf numFmtId="0" fontId="0" fillId="7" borderId="1" xfId="1" applyNumberFormat="1" applyFont="1" applyFill="1" applyBorder="1" applyAlignment="1">
      <alignment horizontal="center" vertical="center"/>
    </xf>
    <xf numFmtId="9" fontId="6" fillId="7" borderId="1" xfId="0" applyNumberFormat="1" applyFont="1" applyFill="1" applyBorder="1" applyAlignment="1">
      <alignment horizontal="center" vertical="center"/>
    </xf>
    <xf numFmtId="1" fontId="0" fillId="9" borderId="1" xfId="0" applyNumberFormat="1" applyFill="1" applyBorder="1"/>
    <xf numFmtId="9" fontId="0" fillId="9" borderId="1" xfId="0" applyNumberFormat="1" applyFill="1" applyBorder="1"/>
    <xf numFmtId="3" fontId="0" fillId="9" borderId="1" xfId="0" applyNumberFormat="1" applyFill="1" applyBorder="1"/>
    <xf numFmtId="9" fontId="8" fillId="9" borderId="4" xfId="0" applyNumberFormat="1" applyFont="1" applyFill="1" applyBorder="1" applyAlignment="1">
      <alignment horizontal="center" vertical="center"/>
    </xf>
    <xf numFmtId="9" fontId="8" fillId="9" borderId="5" xfId="0" applyNumberFormat="1" applyFont="1" applyFill="1" applyBorder="1" applyAlignment="1">
      <alignment horizontal="center" vertical="center"/>
    </xf>
    <xf numFmtId="9" fontId="8" fillId="9" borderId="6"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7" fillId="2" borderId="1" xfId="0" applyFont="1" applyFill="1" applyBorder="1" applyAlignment="1">
      <alignment horizontal="center" vertical="center"/>
    </xf>
    <xf numFmtId="9" fontId="1" fillId="4" borderId="1" xfId="0" applyNumberFormat="1" applyFont="1" applyFill="1" applyBorder="1" applyAlignment="1">
      <alignment horizontal="center" vertical="center"/>
    </xf>
    <xf numFmtId="0" fontId="0" fillId="9" borderId="4" xfId="0" applyFill="1" applyBorder="1" applyAlignment="1">
      <alignment horizontal="center"/>
    </xf>
    <xf numFmtId="0" fontId="0" fillId="9" borderId="5" xfId="0" applyFill="1" applyBorder="1" applyAlignment="1">
      <alignment horizontal="center"/>
    </xf>
    <xf numFmtId="0" fontId="0" fillId="9" borderId="6" xfId="0" applyFill="1" applyBorder="1" applyAlignment="1">
      <alignment horizontal="center"/>
    </xf>
    <xf numFmtId="0" fontId="8" fillId="9" borderId="4" xfId="0" applyFont="1" applyFill="1" applyBorder="1" applyAlignment="1">
      <alignment horizontal="center" vertical="center"/>
    </xf>
    <xf numFmtId="0" fontId="8" fillId="9" borderId="5" xfId="0" applyFont="1" applyFill="1" applyBorder="1" applyAlignment="1">
      <alignment horizontal="center" vertical="center"/>
    </xf>
    <xf numFmtId="0" fontId="8" fillId="9" borderId="6" xfId="0" applyFont="1" applyFill="1" applyBorder="1" applyAlignment="1">
      <alignment horizontal="center" vertical="center"/>
    </xf>
    <xf numFmtId="9" fontId="0" fillId="9" borderId="4" xfId="0" applyNumberFormat="1" applyFill="1" applyBorder="1" applyAlignment="1">
      <alignment horizontal="center"/>
    </xf>
    <xf numFmtId="9" fontId="0" fillId="9" borderId="5" xfId="0" applyNumberFormat="1" applyFill="1" applyBorder="1" applyAlignment="1">
      <alignment horizontal="center"/>
    </xf>
    <xf numFmtId="9" fontId="0" fillId="9" borderId="6" xfId="0" applyNumberFormat="1" applyFill="1" applyBorder="1" applyAlignment="1">
      <alignment horizontal="center"/>
    </xf>
    <xf numFmtId="0" fontId="2" fillId="12"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5" borderId="1" xfId="0" applyFont="1" applyFill="1" applyBorder="1" applyAlignment="1">
      <alignment horizontal="center" vertical="center"/>
    </xf>
    <xf numFmtId="0" fontId="4" fillId="0" borderId="0" xfId="0" applyFont="1" applyAlignment="1">
      <alignment horizontal="center" vertical="center"/>
    </xf>
    <xf numFmtId="0" fontId="3" fillId="15" borderId="0" xfId="0" applyFont="1" applyFill="1" applyAlignment="1">
      <alignment horizontal="center" vertical="center"/>
    </xf>
  </cellXfs>
  <cellStyles count="2">
    <cellStyle name="Normal" xfId="0" builtinId="0"/>
    <cellStyle name="Percent" xfId="1" builtinId="5"/>
  </cellStyles>
  <dxfs count="2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a:sp3d/>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pivotFmt>
      <c:pivotFmt>
        <c:idx val="3"/>
        <c:spPr>
          <a:solidFill>
            <a:schemeClr val="accent1">
              <a:tint val="54000"/>
            </a:schemeClr>
          </a:solidFill>
          <a:ln>
            <a:noFill/>
          </a:ln>
          <a:effectLst>
            <a:outerShdw blurRad="254000" sx="102000" sy="102000" algn="ctr" rotWithShape="0">
              <a:prstClr val="black">
                <a:alpha val="20000"/>
              </a:prstClr>
            </a:outerShdw>
          </a:effectLst>
          <a:sp3d/>
        </c:spPr>
      </c:pivotFmt>
      <c:pivotFmt>
        <c:idx val="4"/>
        <c:spPr>
          <a:solidFill>
            <a:schemeClr val="accent1">
              <a:tint val="77000"/>
            </a:schemeClr>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hade val="76000"/>
            </a:schemeClr>
          </a:solidFill>
          <a:ln>
            <a:noFill/>
          </a:ln>
          <a:effectLst>
            <a:outerShdw blurRad="254000" sx="102000" sy="102000" algn="ctr" rotWithShape="0">
              <a:prstClr val="black">
                <a:alpha val="20000"/>
              </a:prstClr>
            </a:outerShdw>
          </a:effectLst>
          <a:sp3d/>
        </c:spPr>
      </c:pivotFmt>
      <c:pivotFmt>
        <c:idx val="7"/>
        <c:spPr>
          <a:solidFill>
            <a:schemeClr val="accent1">
              <a:shade val="53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8A1-47AD-BC52-7266C65D2405}"/>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8A1-47AD-BC52-7266C65D2405}"/>
              </c:ext>
            </c:extLst>
          </c:dPt>
          <c:dPt>
            <c:idx val="2"/>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8A1-47AD-BC52-7266C65D2405}"/>
              </c:ext>
            </c:extLst>
          </c:dPt>
          <c:dPt>
            <c:idx val="3"/>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8A1-47AD-BC52-7266C65D2405}"/>
              </c:ext>
            </c:extLst>
          </c:dPt>
          <c:dPt>
            <c:idx val="4"/>
            <c:bubble3D val="0"/>
            <c:spPr>
              <a:solidFill>
                <a:schemeClr val="accent1">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8A1-47AD-BC52-7266C65D2405}"/>
              </c:ext>
            </c:extLst>
          </c:dPt>
          <c:dLbls>
            <c:delete val="1"/>
          </c:dLbls>
          <c:cat>
            <c:strLit>
              <c:ptCount val="5"/>
              <c:pt idx="0">
                <c:v>Books</c:v>
              </c:pt>
              <c:pt idx="1">
                <c:v>Clothing</c:v>
              </c:pt>
              <c:pt idx="2">
                <c:v>Electronics</c:v>
              </c:pt>
              <c:pt idx="3">
                <c:v>Furniture</c:v>
              </c:pt>
              <c:pt idx="4">
                <c:v>Office Supplies</c:v>
              </c:pt>
            </c:strLit>
          </c:cat>
          <c:val>
            <c:numLit>
              <c:formatCode>General</c:formatCode>
              <c:ptCount val="5"/>
              <c:pt idx="0">
                <c:v>47002.460000000006</c:v>
              </c:pt>
              <c:pt idx="1">
                <c:v>41927.589999999989</c:v>
              </c:pt>
              <c:pt idx="2">
                <c:v>41044.000000000007</c:v>
              </c:pt>
              <c:pt idx="3">
                <c:v>36612.89</c:v>
              </c:pt>
              <c:pt idx="4">
                <c:v>28630.819999999992</c:v>
              </c:pt>
            </c:numLit>
          </c:val>
          <c:extLst>
            <c:ext xmlns:c16="http://schemas.microsoft.com/office/drawing/2014/chart" uri="{C3380CC4-5D6E-409C-BE32-E72D297353CC}">
              <c16:uniqueId val="{0000000A-78A1-47AD-BC52-7266C65D2405}"/>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43468.33</c:v>
              </c:pt>
              <c:pt idx="1">
                <c:v>32441.64</c:v>
              </c:pt>
              <c:pt idx="2">
                <c:v>34975.42</c:v>
              </c:pt>
              <c:pt idx="3">
                <c:v>40248.79</c:v>
              </c:pt>
              <c:pt idx="4">
                <c:v>44083.58</c:v>
              </c:pt>
            </c:numLit>
          </c:val>
          <c:extLst>
            <c:ext xmlns:c16="http://schemas.microsoft.com/office/drawing/2014/chart" uri="{C3380CC4-5D6E-409C-BE32-E72D297353CC}">
              <c16:uniqueId val="{00000000-8E44-4165-9BF8-2CD70AF7E7A3}"/>
            </c:ext>
          </c:extLst>
        </c:ser>
        <c:dLbls>
          <c:showLegendKey val="0"/>
          <c:showVal val="0"/>
          <c:showCatName val="0"/>
          <c:showSerName val="0"/>
          <c:showPercent val="0"/>
          <c:showBubbleSize val="0"/>
        </c:dLbls>
        <c:gapWidth val="65"/>
        <c:shape val="box"/>
        <c:axId val="1593467712"/>
        <c:axId val="1593469792"/>
        <c:axId val="0"/>
      </c:bar3DChart>
      <c:catAx>
        <c:axId val="15934677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3469792"/>
        <c:crosses val="autoZero"/>
        <c:auto val="1"/>
        <c:lblAlgn val="ctr"/>
        <c:lblOffset val="100"/>
        <c:noMultiLvlLbl val="0"/>
      </c:catAx>
      <c:valAx>
        <c:axId val="15934697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346771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ivotFmts>
      <c:pivotFmt>
        <c:idx val="0"/>
      </c:pivotFmt>
      <c:pivotFmt>
        <c:idx val="1"/>
      </c:pivotFmt>
      <c:pivotFmt>
        <c:idx val="2"/>
      </c:pivotFmt>
      <c:pivotFmt>
        <c:idx val="3"/>
      </c:pivotFmt>
      <c:pivotFmt>
        <c:idx val="4"/>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06698165363665"/>
          <c:y val="0.19166725505424934"/>
          <c:w val="0.6233816328790498"/>
          <c:h val="0.54070563361497481"/>
        </c:manualLayout>
      </c:layout>
      <c:bar3DChart>
        <c:barDir val="col"/>
        <c:grouping val="clustered"/>
        <c:varyColors val="0"/>
        <c:ser>
          <c:idx val="0"/>
          <c:order val="0"/>
          <c:tx>
            <c:v>Books</c:v>
          </c:tx>
          <c:spPr>
            <a:solidFill>
              <a:schemeClr val="accent1">
                <a:shade val="53000"/>
                <a:alpha val="85000"/>
              </a:schemeClr>
            </a:solidFill>
            <a:ln w="9525" cap="flat" cmpd="sng" algn="ctr">
              <a:solidFill>
                <a:schemeClr val="accent1">
                  <a:shade val="53000"/>
                  <a:lumMod val="75000"/>
                </a:schemeClr>
              </a:solidFill>
              <a:round/>
            </a:ln>
            <a:effectLst/>
            <a:sp3d contourW="9525">
              <a:contourClr>
                <a:schemeClr val="accent1">
                  <a:shade val="53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11297.150000000001</c:v>
              </c:pt>
              <c:pt idx="1">
                <c:v>11389.090000000002</c:v>
              </c:pt>
              <c:pt idx="2">
                <c:v>8037.0100000000011</c:v>
              </c:pt>
              <c:pt idx="3">
                <c:v>9588.0400000000009</c:v>
              </c:pt>
              <c:pt idx="4">
                <c:v>6691.17</c:v>
              </c:pt>
            </c:numLit>
          </c:val>
          <c:extLst>
            <c:ext xmlns:c16="http://schemas.microsoft.com/office/drawing/2014/chart" uri="{C3380CC4-5D6E-409C-BE32-E72D297353CC}">
              <c16:uniqueId val="{00000000-E8BE-4E1C-8EA4-EED9F072B03A}"/>
            </c:ext>
          </c:extLst>
        </c:ser>
        <c:ser>
          <c:idx val="1"/>
          <c:order val="1"/>
          <c:tx>
            <c:v>Clothing</c:v>
          </c:tx>
          <c:spPr>
            <a:solidFill>
              <a:schemeClr val="accent1">
                <a:shade val="76000"/>
                <a:alpha val="85000"/>
              </a:schemeClr>
            </a:solidFill>
            <a:ln w="9525" cap="flat" cmpd="sng" algn="ctr">
              <a:solidFill>
                <a:schemeClr val="accent1">
                  <a:shade val="76000"/>
                  <a:lumMod val="75000"/>
                </a:schemeClr>
              </a:solidFill>
              <a:round/>
            </a:ln>
            <a:effectLst/>
            <a:sp3d contourW="9525">
              <a:contourClr>
                <a:schemeClr val="accent1">
                  <a:shade val="76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12200.26</c:v>
              </c:pt>
              <c:pt idx="1">
                <c:v>2401.4499999999998</c:v>
              </c:pt>
              <c:pt idx="2">
                <c:v>8422.82</c:v>
              </c:pt>
              <c:pt idx="3">
                <c:v>8393.630000000001</c:v>
              </c:pt>
              <c:pt idx="4">
                <c:v>10509.429999999998</c:v>
              </c:pt>
            </c:numLit>
          </c:val>
          <c:extLst>
            <c:ext xmlns:c16="http://schemas.microsoft.com/office/drawing/2014/chart" uri="{C3380CC4-5D6E-409C-BE32-E72D297353CC}">
              <c16:uniqueId val="{00000001-E8BE-4E1C-8EA4-EED9F072B03A}"/>
            </c:ext>
          </c:extLst>
        </c:ser>
        <c:ser>
          <c:idx val="2"/>
          <c:order val="2"/>
          <c:tx>
            <c:v>Electronics</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6621.24</c:v>
              </c:pt>
              <c:pt idx="1">
                <c:v>2869.54</c:v>
              </c:pt>
              <c:pt idx="2">
                <c:v>8191.7099999999991</c:v>
              </c:pt>
              <c:pt idx="3">
                <c:v>11989.070000000003</c:v>
              </c:pt>
              <c:pt idx="4">
                <c:v>11372.44</c:v>
              </c:pt>
            </c:numLit>
          </c:val>
          <c:extLst>
            <c:ext xmlns:c16="http://schemas.microsoft.com/office/drawing/2014/chart" uri="{C3380CC4-5D6E-409C-BE32-E72D297353CC}">
              <c16:uniqueId val="{00000002-E8BE-4E1C-8EA4-EED9F072B03A}"/>
            </c:ext>
          </c:extLst>
        </c:ser>
        <c:ser>
          <c:idx val="3"/>
          <c:order val="3"/>
          <c:tx>
            <c:v>Furniture</c:v>
          </c:tx>
          <c:spPr>
            <a:solidFill>
              <a:schemeClr val="accent1">
                <a:tint val="77000"/>
                <a:alpha val="85000"/>
              </a:schemeClr>
            </a:solidFill>
            <a:ln w="9525" cap="flat" cmpd="sng" algn="ctr">
              <a:solidFill>
                <a:schemeClr val="accent1">
                  <a:tint val="77000"/>
                  <a:lumMod val="75000"/>
                </a:schemeClr>
              </a:solidFill>
              <a:round/>
            </a:ln>
            <a:effectLst/>
            <a:sp3d contourW="9525">
              <a:contourClr>
                <a:schemeClr val="accent1">
                  <a:tint val="77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4876.96</c:v>
              </c:pt>
              <c:pt idx="1">
                <c:v>7592.3399999999992</c:v>
              </c:pt>
              <c:pt idx="2">
                <c:v>6978.08</c:v>
              </c:pt>
              <c:pt idx="3">
                <c:v>7982.73</c:v>
              </c:pt>
              <c:pt idx="4">
                <c:v>9182.7800000000007</c:v>
              </c:pt>
            </c:numLit>
          </c:val>
          <c:extLst>
            <c:ext xmlns:c16="http://schemas.microsoft.com/office/drawing/2014/chart" uri="{C3380CC4-5D6E-409C-BE32-E72D297353CC}">
              <c16:uniqueId val="{00000003-E8BE-4E1C-8EA4-EED9F072B03A}"/>
            </c:ext>
          </c:extLst>
        </c:ser>
        <c:ser>
          <c:idx val="4"/>
          <c:order val="4"/>
          <c:tx>
            <c:v>Office Supplies</c:v>
          </c:tx>
          <c:spPr>
            <a:solidFill>
              <a:schemeClr val="accent1">
                <a:tint val="54000"/>
                <a:alpha val="85000"/>
              </a:schemeClr>
            </a:solidFill>
            <a:ln w="9525" cap="flat" cmpd="sng" algn="ctr">
              <a:solidFill>
                <a:schemeClr val="accent1">
                  <a:tint val="54000"/>
                  <a:lumMod val="75000"/>
                </a:schemeClr>
              </a:solidFill>
              <a:round/>
            </a:ln>
            <a:effectLst/>
            <a:sp3d contourW="9525">
              <a:contourClr>
                <a:schemeClr val="accent1">
                  <a:tint val="54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8472.7199999999993</c:v>
              </c:pt>
              <c:pt idx="1">
                <c:v>8189.2200000000012</c:v>
              </c:pt>
              <c:pt idx="2">
                <c:v>3345.8</c:v>
              </c:pt>
              <c:pt idx="3">
                <c:v>2295.3199999999997</c:v>
              </c:pt>
              <c:pt idx="4">
                <c:v>6327.76</c:v>
              </c:pt>
            </c:numLit>
          </c:val>
          <c:extLst>
            <c:ext xmlns:c16="http://schemas.microsoft.com/office/drawing/2014/chart" uri="{C3380CC4-5D6E-409C-BE32-E72D297353CC}">
              <c16:uniqueId val="{00000004-E8BE-4E1C-8EA4-EED9F072B03A}"/>
            </c:ext>
          </c:extLst>
        </c:ser>
        <c:dLbls>
          <c:showLegendKey val="0"/>
          <c:showVal val="0"/>
          <c:showCatName val="0"/>
          <c:showSerName val="0"/>
          <c:showPercent val="0"/>
          <c:showBubbleSize val="0"/>
        </c:dLbls>
        <c:gapWidth val="65"/>
        <c:shape val="box"/>
        <c:axId val="1593468128"/>
        <c:axId val="1593461056"/>
        <c:axId val="0"/>
      </c:bar3DChart>
      <c:catAx>
        <c:axId val="1593468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3461056"/>
        <c:crosses val="autoZero"/>
        <c:auto val="1"/>
        <c:lblAlgn val="ctr"/>
        <c:lblOffset val="100"/>
        <c:noMultiLvlLbl val="0"/>
      </c:catAx>
      <c:valAx>
        <c:axId val="15934610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3468128"/>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ivotFmts>
      <c:pivotFmt>
        <c:idx val="0"/>
      </c:pivotFmt>
      <c:pivotFmt>
        <c:idx val="1"/>
      </c:pivotFmt>
      <c:pivotFmt>
        <c:idx val="2"/>
      </c:pivotFmt>
      <c:pivotFmt>
        <c:idx val="3"/>
      </c:pivotFmt>
      <c:pivotFmt>
        <c:idx val="4"/>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06698165363665"/>
          <c:y val="0.19166725505424934"/>
          <c:w val="0.6233816328790498"/>
          <c:h val="0.54070563361497481"/>
        </c:manualLayout>
      </c:layout>
      <c:bar3DChart>
        <c:barDir val="col"/>
        <c:grouping val="clustered"/>
        <c:varyColors val="0"/>
        <c:ser>
          <c:idx val="0"/>
          <c:order val="0"/>
          <c:tx>
            <c:v>Books</c:v>
          </c:tx>
          <c:spPr>
            <a:solidFill>
              <a:schemeClr val="accent1">
                <a:shade val="53000"/>
                <a:alpha val="85000"/>
              </a:schemeClr>
            </a:solidFill>
            <a:ln w="9525" cap="flat" cmpd="sng" algn="ctr">
              <a:solidFill>
                <a:schemeClr val="accent1">
                  <a:shade val="53000"/>
                  <a:lumMod val="75000"/>
                </a:schemeClr>
              </a:solidFill>
              <a:round/>
            </a:ln>
            <a:effectLst/>
            <a:sp3d contourW="9525">
              <a:contourClr>
                <a:schemeClr val="accent1">
                  <a:shade val="53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11297.150000000001</c:v>
              </c:pt>
              <c:pt idx="1">
                <c:v>11389.090000000002</c:v>
              </c:pt>
              <c:pt idx="2">
                <c:v>8037.0100000000011</c:v>
              </c:pt>
              <c:pt idx="3">
                <c:v>9588.0400000000009</c:v>
              </c:pt>
              <c:pt idx="4">
                <c:v>6691.17</c:v>
              </c:pt>
            </c:numLit>
          </c:val>
          <c:extLst>
            <c:ext xmlns:c16="http://schemas.microsoft.com/office/drawing/2014/chart" uri="{C3380CC4-5D6E-409C-BE32-E72D297353CC}">
              <c16:uniqueId val="{00000000-06B5-4085-87AF-1C737DA2BC33}"/>
            </c:ext>
          </c:extLst>
        </c:ser>
        <c:ser>
          <c:idx val="1"/>
          <c:order val="1"/>
          <c:tx>
            <c:v>Clothing</c:v>
          </c:tx>
          <c:spPr>
            <a:solidFill>
              <a:schemeClr val="accent1">
                <a:shade val="76000"/>
                <a:alpha val="85000"/>
              </a:schemeClr>
            </a:solidFill>
            <a:ln w="9525" cap="flat" cmpd="sng" algn="ctr">
              <a:solidFill>
                <a:schemeClr val="accent1">
                  <a:shade val="76000"/>
                  <a:lumMod val="75000"/>
                </a:schemeClr>
              </a:solidFill>
              <a:round/>
            </a:ln>
            <a:effectLst/>
            <a:sp3d contourW="9525">
              <a:contourClr>
                <a:schemeClr val="accent1">
                  <a:shade val="76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12200.26</c:v>
              </c:pt>
              <c:pt idx="1">
                <c:v>2401.4499999999998</c:v>
              </c:pt>
              <c:pt idx="2">
                <c:v>8422.82</c:v>
              </c:pt>
              <c:pt idx="3">
                <c:v>8393.630000000001</c:v>
              </c:pt>
              <c:pt idx="4">
                <c:v>10509.429999999998</c:v>
              </c:pt>
            </c:numLit>
          </c:val>
          <c:extLst>
            <c:ext xmlns:c16="http://schemas.microsoft.com/office/drawing/2014/chart" uri="{C3380CC4-5D6E-409C-BE32-E72D297353CC}">
              <c16:uniqueId val="{00000001-06B5-4085-87AF-1C737DA2BC33}"/>
            </c:ext>
          </c:extLst>
        </c:ser>
        <c:ser>
          <c:idx val="2"/>
          <c:order val="2"/>
          <c:tx>
            <c:v>Electronics</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6621.24</c:v>
              </c:pt>
              <c:pt idx="1">
                <c:v>2869.54</c:v>
              </c:pt>
              <c:pt idx="2">
                <c:v>8191.7099999999991</c:v>
              </c:pt>
              <c:pt idx="3">
                <c:v>11989.070000000003</c:v>
              </c:pt>
              <c:pt idx="4">
                <c:v>11372.44</c:v>
              </c:pt>
            </c:numLit>
          </c:val>
          <c:extLst>
            <c:ext xmlns:c16="http://schemas.microsoft.com/office/drawing/2014/chart" uri="{C3380CC4-5D6E-409C-BE32-E72D297353CC}">
              <c16:uniqueId val="{00000002-06B5-4085-87AF-1C737DA2BC33}"/>
            </c:ext>
          </c:extLst>
        </c:ser>
        <c:ser>
          <c:idx val="3"/>
          <c:order val="3"/>
          <c:tx>
            <c:v>Furniture</c:v>
          </c:tx>
          <c:spPr>
            <a:solidFill>
              <a:schemeClr val="accent1">
                <a:tint val="77000"/>
                <a:alpha val="85000"/>
              </a:schemeClr>
            </a:solidFill>
            <a:ln w="9525" cap="flat" cmpd="sng" algn="ctr">
              <a:solidFill>
                <a:schemeClr val="accent1">
                  <a:tint val="77000"/>
                  <a:lumMod val="75000"/>
                </a:schemeClr>
              </a:solidFill>
              <a:round/>
            </a:ln>
            <a:effectLst/>
            <a:sp3d contourW="9525">
              <a:contourClr>
                <a:schemeClr val="accent1">
                  <a:tint val="77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4876.96</c:v>
              </c:pt>
              <c:pt idx="1">
                <c:v>7592.3399999999992</c:v>
              </c:pt>
              <c:pt idx="2">
                <c:v>6978.08</c:v>
              </c:pt>
              <c:pt idx="3">
                <c:v>7982.73</c:v>
              </c:pt>
              <c:pt idx="4">
                <c:v>9182.7800000000007</c:v>
              </c:pt>
            </c:numLit>
          </c:val>
          <c:extLst>
            <c:ext xmlns:c16="http://schemas.microsoft.com/office/drawing/2014/chart" uri="{C3380CC4-5D6E-409C-BE32-E72D297353CC}">
              <c16:uniqueId val="{00000003-06B5-4085-87AF-1C737DA2BC33}"/>
            </c:ext>
          </c:extLst>
        </c:ser>
        <c:ser>
          <c:idx val="4"/>
          <c:order val="4"/>
          <c:tx>
            <c:v>Office Supplies</c:v>
          </c:tx>
          <c:spPr>
            <a:solidFill>
              <a:schemeClr val="accent1">
                <a:tint val="54000"/>
                <a:alpha val="85000"/>
              </a:schemeClr>
            </a:solidFill>
            <a:ln w="9525" cap="flat" cmpd="sng" algn="ctr">
              <a:solidFill>
                <a:schemeClr val="accent1">
                  <a:tint val="54000"/>
                  <a:lumMod val="75000"/>
                </a:schemeClr>
              </a:solidFill>
              <a:round/>
            </a:ln>
            <a:effectLst/>
            <a:sp3d contourW="9525">
              <a:contourClr>
                <a:schemeClr val="accent1">
                  <a:tint val="54000"/>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8472.7199999999993</c:v>
              </c:pt>
              <c:pt idx="1">
                <c:v>8189.2200000000012</c:v>
              </c:pt>
              <c:pt idx="2">
                <c:v>3345.8</c:v>
              </c:pt>
              <c:pt idx="3">
                <c:v>2295.3199999999997</c:v>
              </c:pt>
              <c:pt idx="4">
                <c:v>6327.76</c:v>
              </c:pt>
            </c:numLit>
          </c:val>
          <c:extLst>
            <c:ext xmlns:c16="http://schemas.microsoft.com/office/drawing/2014/chart" uri="{C3380CC4-5D6E-409C-BE32-E72D297353CC}">
              <c16:uniqueId val="{00000004-06B5-4085-87AF-1C737DA2BC33}"/>
            </c:ext>
          </c:extLst>
        </c:ser>
        <c:dLbls>
          <c:showLegendKey val="0"/>
          <c:showVal val="0"/>
          <c:showCatName val="0"/>
          <c:showSerName val="0"/>
          <c:showPercent val="0"/>
          <c:showBubbleSize val="0"/>
        </c:dLbls>
        <c:gapWidth val="65"/>
        <c:shape val="box"/>
        <c:axId val="1593468128"/>
        <c:axId val="1593461056"/>
        <c:axId val="0"/>
      </c:bar3DChart>
      <c:catAx>
        <c:axId val="1593468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3461056"/>
        <c:crosses val="autoZero"/>
        <c:auto val="1"/>
        <c:lblAlgn val="ctr"/>
        <c:lblOffset val="100"/>
        <c:noMultiLvlLbl val="0"/>
      </c:catAx>
      <c:valAx>
        <c:axId val="15934610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3468128"/>
        <c:crosses val="autoZero"/>
        <c:crossBetween val="between"/>
      </c:valAx>
      <c:spPr>
        <a:noFill/>
        <a:ln>
          <a:noFill/>
        </a:ln>
        <a:effectLst/>
      </c:spPr>
    </c:plotArea>
    <c:legend>
      <c:legendPos val="r"/>
      <c:layout>
        <c:manualLayout>
          <c:xMode val="edge"/>
          <c:yMode val="edge"/>
          <c:x val="0.83652036406983177"/>
          <c:y val="0.70457103843532476"/>
          <c:w val="0.12689154036224351"/>
          <c:h val="0.295428878478833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a:sp3d/>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pivotFmt>
      <c:pivotFmt>
        <c:idx val="4"/>
        <c:spPr>
          <a:solidFill>
            <a:schemeClr val="accent1">
              <a:tint val="54000"/>
            </a:schemeClr>
          </a:solidFill>
          <a:ln>
            <a:noFill/>
          </a:ln>
          <a:effectLst>
            <a:outerShdw blurRad="254000" sx="102000" sy="102000" algn="ctr" rotWithShape="0">
              <a:prstClr val="black">
                <a:alpha val="20000"/>
              </a:prstClr>
            </a:outerShdw>
          </a:effectLst>
          <a:sp3d/>
        </c:spPr>
      </c:pivotFmt>
      <c:pivotFmt>
        <c:idx val="5"/>
        <c:spPr>
          <a:solidFill>
            <a:schemeClr val="accent1">
              <a:tint val="77000"/>
            </a:schemeClr>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hade val="76000"/>
            </a:schemeClr>
          </a:solidFill>
          <a:ln>
            <a:noFill/>
          </a:ln>
          <a:effectLst>
            <a:outerShdw blurRad="254000" sx="102000" sy="102000" algn="ctr" rotWithShape="0">
              <a:prstClr val="black">
                <a:alpha val="20000"/>
              </a:prstClr>
            </a:outerShdw>
          </a:effectLst>
          <a:sp3d/>
        </c:spPr>
      </c:pivotFmt>
      <c:pivotFmt>
        <c:idx val="8"/>
        <c:spPr>
          <a:solidFill>
            <a:schemeClr val="accent1">
              <a:shade val="53000"/>
            </a:schemeClr>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pivotFmt>
      <c:pivotFmt>
        <c:idx val="10"/>
        <c:spPr>
          <a:solidFill>
            <a:schemeClr val="accent1">
              <a:tint val="54000"/>
            </a:schemeClr>
          </a:solidFill>
          <a:ln>
            <a:noFill/>
          </a:ln>
          <a:effectLst>
            <a:outerShdw blurRad="254000" sx="102000" sy="102000" algn="ctr" rotWithShape="0">
              <a:prstClr val="black">
                <a:alpha val="20000"/>
              </a:prstClr>
            </a:outerShdw>
          </a:effectLst>
          <a:sp3d/>
        </c:spPr>
      </c:pivotFmt>
      <c:pivotFmt>
        <c:idx val="11"/>
        <c:spPr>
          <a:solidFill>
            <a:schemeClr val="accent1">
              <a:tint val="77000"/>
            </a:schemeClr>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hade val="76000"/>
            </a:schemeClr>
          </a:solidFill>
          <a:ln>
            <a:noFill/>
          </a:ln>
          <a:effectLst>
            <a:outerShdw blurRad="254000" sx="102000" sy="102000" algn="ctr" rotWithShape="0">
              <a:prstClr val="black">
                <a:alpha val="20000"/>
              </a:prstClr>
            </a:outerShdw>
          </a:effectLst>
          <a:sp3d/>
        </c:spPr>
      </c:pivotFmt>
      <c:pivotFmt>
        <c:idx val="14"/>
        <c:spPr>
          <a:solidFill>
            <a:schemeClr val="accent1">
              <a:shade val="53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157489009183012E-3"/>
          <c:y val="0.23391892154776378"/>
          <c:w val="0.75770925110132159"/>
          <c:h val="0.72441451920782629"/>
        </c:manualLayout>
      </c:layout>
      <c:pie3DChart>
        <c:varyColors val="1"/>
        <c:ser>
          <c:idx val="0"/>
          <c:order val="0"/>
          <c:tx>
            <c:v>Total</c:v>
          </c:tx>
          <c:dPt>
            <c:idx val="0"/>
            <c:bubble3D val="0"/>
            <c:spPr>
              <a:solidFill>
                <a:schemeClr val="accent1">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9CE-43D6-AE7E-89CDEEB579FA}"/>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9CE-43D6-AE7E-89CDEEB579FA}"/>
              </c:ext>
            </c:extLst>
          </c:dPt>
          <c:dPt>
            <c:idx val="2"/>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9CE-43D6-AE7E-89CDEEB579FA}"/>
              </c:ext>
            </c:extLst>
          </c:dPt>
          <c:dPt>
            <c:idx val="3"/>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9CE-43D6-AE7E-89CDEEB579FA}"/>
              </c:ext>
            </c:extLst>
          </c:dPt>
          <c:dPt>
            <c:idx val="4"/>
            <c:bubble3D val="0"/>
            <c:spPr>
              <a:solidFill>
                <a:schemeClr val="accent1">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39CE-43D6-AE7E-89CDEEB579FA}"/>
              </c:ext>
            </c:extLst>
          </c:dPt>
          <c:dLbls>
            <c:delete val="1"/>
          </c:dLbls>
          <c:cat>
            <c:strLit>
              <c:ptCount val="5"/>
              <c:pt idx="0">
                <c:v>Books</c:v>
              </c:pt>
              <c:pt idx="1">
                <c:v>Clothing</c:v>
              </c:pt>
              <c:pt idx="2">
                <c:v>Electronics</c:v>
              </c:pt>
              <c:pt idx="3">
                <c:v>Furniture</c:v>
              </c:pt>
              <c:pt idx="4">
                <c:v>Office Supplies</c:v>
              </c:pt>
            </c:strLit>
          </c:cat>
          <c:val>
            <c:numLit>
              <c:formatCode>General</c:formatCode>
              <c:ptCount val="5"/>
              <c:pt idx="0">
                <c:v>47002.460000000006</c:v>
              </c:pt>
              <c:pt idx="1">
                <c:v>41927.589999999989</c:v>
              </c:pt>
              <c:pt idx="2">
                <c:v>41044.000000000007</c:v>
              </c:pt>
              <c:pt idx="3">
                <c:v>36612.89</c:v>
              </c:pt>
              <c:pt idx="4">
                <c:v>28630.819999999992</c:v>
              </c:pt>
            </c:numLit>
          </c:val>
          <c:extLst>
            <c:ext xmlns:c16="http://schemas.microsoft.com/office/drawing/2014/chart" uri="{C3380CC4-5D6E-409C-BE32-E72D297353CC}">
              <c16:uniqueId val="{0000000A-39CE-43D6-AE7E-89CDEEB579FA}"/>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5"/>
              <c:pt idx="0">
                <c:v>Central</c:v>
              </c:pt>
              <c:pt idx="1">
                <c:v>East</c:v>
              </c:pt>
              <c:pt idx="2">
                <c:v>North</c:v>
              </c:pt>
              <c:pt idx="3">
                <c:v>South</c:v>
              </c:pt>
              <c:pt idx="4">
                <c:v>West</c:v>
              </c:pt>
            </c:strLit>
          </c:cat>
          <c:val>
            <c:numLit>
              <c:formatCode>General</c:formatCode>
              <c:ptCount val="5"/>
              <c:pt idx="0">
                <c:v>43468.33</c:v>
              </c:pt>
              <c:pt idx="1">
                <c:v>32441.64</c:v>
              </c:pt>
              <c:pt idx="2">
                <c:v>34975.42</c:v>
              </c:pt>
              <c:pt idx="3">
                <c:v>40248.79</c:v>
              </c:pt>
              <c:pt idx="4">
                <c:v>44083.58</c:v>
              </c:pt>
            </c:numLit>
          </c:val>
          <c:extLst>
            <c:ext xmlns:c16="http://schemas.microsoft.com/office/drawing/2014/chart" uri="{C3380CC4-5D6E-409C-BE32-E72D297353CC}">
              <c16:uniqueId val="{00000000-BF1F-41D8-AC17-5C87B9AA6F05}"/>
            </c:ext>
          </c:extLst>
        </c:ser>
        <c:dLbls>
          <c:showLegendKey val="0"/>
          <c:showVal val="0"/>
          <c:showCatName val="0"/>
          <c:showSerName val="0"/>
          <c:showPercent val="0"/>
          <c:showBubbleSize val="0"/>
        </c:dLbls>
        <c:gapWidth val="65"/>
        <c:shape val="box"/>
        <c:axId val="1593467712"/>
        <c:axId val="1593469792"/>
        <c:axId val="0"/>
      </c:bar3DChart>
      <c:catAx>
        <c:axId val="15934677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3469792"/>
        <c:crosses val="autoZero"/>
        <c:auto val="1"/>
        <c:lblAlgn val="ctr"/>
        <c:lblOffset val="100"/>
        <c:noMultiLvlLbl val="0"/>
      </c:catAx>
      <c:valAx>
        <c:axId val="15934697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346771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198651</xdr:colOff>
      <xdr:row>13</xdr:row>
      <xdr:rowOff>180653</xdr:rowOff>
    </xdr:from>
    <xdr:to>
      <xdr:col>7</xdr:col>
      <xdr:colOff>928391</xdr:colOff>
      <xdr:row>25</xdr:row>
      <xdr:rowOff>175219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11205</xdr:colOff>
      <xdr:row>29</xdr:row>
      <xdr:rowOff>174812</xdr:rowOff>
    </xdr:from>
    <xdr:to>
      <xdr:col>16</xdr:col>
      <xdr:colOff>37352</xdr:colOff>
      <xdr:row>42</xdr:row>
      <xdr:rowOff>7470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600363</xdr:colOff>
      <xdr:row>0</xdr:row>
      <xdr:rowOff>92363</xdr:rowOff>
    </xdr:from>
    <xdr:to>
      <xdr:col>16</xdr:col>
      <xdr:colOff>10866</xdr:colOff>
      <xdr:row>11</xdr:row>
      <xdr:rowOff>99835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18142</xdr:colOff>
      <xdr:row>3</xdr:row>
      <xdr:rowOff>9070</xdr:rowOff>
    </xdr:from>
    <xdr:to>
      <xdr:col>14</xdr:col>
      <xdr:colOff>272143</xdr:colOff>
      <xdr:row>24</xdr:row>
      <xdr:rowOff>81641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272143</xdr:colOff>
      <xdr:row>2</xdr:row>
      <xdr:rowOff>124917</xdr:rowOff>
    </xdr:from>
    <xdr:to>
      <xdr:col>27</xdr:col>
      <xdr:colOff>580572</xdr:colOff>
      <xdr:row>24</xdr:row>
      <xdr:rowOff>72868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229016</xdr:colOff>
      <xdr:row>24</xdr:row>
      <xdr:rowOff>83279</xdr:rowOff>
    </xdr:from>
    <xdr:to>
      <xdr:col>28</xdr:col>
      <xdr:colOff>10409</xdr:colOff>
      <xdr:row>47</xdr:row>
      <xdr:rowOff>83279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20821</xdr:colOff>
      <xdr:row>29</xdr:row>
      <xdr:rowOff>85406</xdr:rowOff>
    </xdr:from>
    <xdr:to>
      <xdr:col>12</xdr:col>
      <xdr:colOff>43737</xdr:colOff>
      <xdr:row>38</xdr:row>
      <xdr:rowOff>114509</xdr:rowOff>
    </xdr:to>
    <mc:AlternateContent xmlns:mc="http://schemas.openxmlformats.org/markup-compatibility/2006" xmlns:a14="http://schemas.microsoft.com/office/drawing/2010/main">
      <mc:Choice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01191" y="5471147"/>
              <a:ext cx="3080324" cy="1722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385164</xdr:colOff>
      <xdr:row>29</xdr:row>
      <xdr:rowOff>83280</xdr:rowOff>
    </xdr:from>
    <xdr:to>
      <xdr:col>6</xdr:col>
      <xdr:colOff>10409</xdr:colOff>
      <xdr:row>38</xdr:row>
      <xdr:rowOff>176968</xdr:rowOff>
    </xdr:to>
    <mc:AlternateContent xmlns:mc="http://schemas.openxmlformats.org/markup-compatibility/2006" xmlns:a14="http://schemas.microsoft.com/office/drawing/2010/main">
      <mc:Choice Requires="a14">
        <xdr:graphicFrame macro="">
          <xdr:nvGraphicFramePr>
            <xdr:cNvPr id="6"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85164" y="5469021"/>
              <a:ext cx="3294134" cy="1787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dmin/Downloads/proje-2%20(Recover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69.355567592589" createdVersion="6" refreshedVersion="6" minRefreshableVersion="3" recordCount="200">
  <cacheSource type="worksheet">
    <worksheetSource ref="A1:J201" sheet="Main Data" r:id="rId2"/>
  </cacheSource>
  <cacheFields count="10">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Total Purchase" numFmtId="0">
      <sharedItems containsSemiMixedTypes="0" containsString="0" containsNumber="1" minValue="247.53600000000003" maxValue="27435.62"/>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00">
  <r>
    <s v="CUST01"/>
    <s v="James Davis"/>
    <x v="0"/>
    <x v="0"/>
    <n v="1036.0899999999999"/>
    <n v="4"/>
    <n v="0.2"/>
    <d v="2024-04-10T00:00:00"/>
    <n v="331.55"/>
    <n v="3315.4879999999998"/>
  </r>
  <r>
    <s v="CUST02"/>
    <s v="Robert Anderson"/>
    <x v="0"/>
    <x v="1"/>
    <n v="1101.28"/>
    <n v="3"/>
    <n v="0.2"/>
    <d v="2024-04-11T00:00:00"/>
    <n v="440.51"/>
    <n v="2643.0720000000001"/>
  </r>
  <r>
    <s v="CUST03"/>
    <s v="James Taylor"/>
    <x v="1"/>
    <x v="0"/>
    <n v="713.34"/>
    <n v="17"/>
    <n v="0"/>
    <d v="2024-04-14T00:00:00"/>
    <n v="285.33999999999997"/>
    <n v="12126.78"/>
  </r>
  <r>
    <s v="CUST04"/>
    <s v="Robert Anderson"/>
    <x v="2"/>
    <x v="2"/>
    <n v="760.93"/>
    <n v="4"/>
    <n v="0.15"/>
    <d v="2024-04-14T00:00:00"/>
    <n v="161.69999999999999"/>
    <n v="2587.1619999999998"/>
  </r>
  <r>
    <s v="CUST05"/>
    <s v="James Wilson"/>
    <x v="3"/>
    <x v="0"/>
    <n v="847"/>
    <n v="12"/>
    <n v="0.2"/>
    <d v="2024-04-15T00:00:00"/>
    <n v="271.04000000000002"/>
    <n v="8131.2000000000007"/>
  </r>
  <r>
    <s v="CUST06"/>
    <s v="Michael Anderson"/>
    <x v="3"/>
    <x v="3"/>
    <n v="965.64"/>
    <n v="8"/>
    <n v="0.1"/>
    <d v="2024-04-16T00:00:00"/>
    <n v="304.18"/>
    <n v="6952.6080000000002"/>
  </r>
  <r>
    <s v="CUST07"/>
    <s v="Linda Wilson"/>
    <x v="0"/>
    <x v="2"/>
    <n v="1317.53"/>
    <n v="12"/>
    <n v="0.05"/>
    <d v="2024-04-16T00:00:00"/>
    <n v="312.91000000000003"/>
    <n v="15019.842000000001"/>
  </r>
  <r>
    <s v="CUST08"/>
    <s v="Mary Davis"/>
    <x v="1"/>
    <x v="3"/>
    <n v="1074.47"/>
    <n v="6"/>
    <n v="0.2"/>
    <d v="2024-04-19T00:00:00"/>
    <n v="300.85000000000002"/>
    <n v="5157.4560000000001"/>
  </r>
  <r>
    <s v="CUST09"/>
    <s v="Linda Jackson"/>
    <x v="4"/>
    <x v="0"/>
    <n v="501.54"/>
    <n v="11"/>
    <n v="0.05"/>
    <d v="2024-04-19T00:00:00"/>
    <n v="190.59"/>
    <n v="5241.0929999999998"/>
  </r>
  <r>
    <s v="CUST10"/>
    <s v="David Thomas"/>
    <x v="4"/>
    <x v="1"/>
    <n v="737.31"/>
    <n v="2"/>
    <n v="0.05"/>
    <d v="2024-04-19T00:00:00"/>
    <n v="350.22"/>
    <n v="1400.8889999999999"/>
  </r>
  <r>
    <s v="CUST11"/>
    <s v="Emma Davis"/>
    <x v="0"/>
    <x v="4"/>
    <n v="1572.82"/>
    <n v="6"/>
    <n v="0.05"/>
    <d v="2024-04-20T00:00:00"/>
    <n v="672.38"/>
    <n v="8965.0740000000005"/>
  </r>
  <r>
    <s v="CUST12"/>
    <s v="David Thomas"/>
    <x v="4"/>
    <x v="0"/>
    <n v="1343.13"/>
    <n v="14"/>
    <n v="0.15"/>
    <d v="2024-04-22T00:00:00"/>
    <n v="456.66"/>
    <n v="15983.246999999999"/>
  </r>
  <r>
    <s v="CUST13"/>
    <s v="Michael Anderson"/>
    <x v="4"/>
    <x v="0"/>
    <n v="1191.58"/>
    <n v="14"/>
    <n v="0.05"/>
    <d v="2024-04-24T00:00:00"/>
    <n v="452.8"/>
    <n v="15848.013999999997"/>
  </r>
  <r>
    <s v="CUST14"/>
    <s v="Robert Anderson"/>
    <x v="0"/>
    <x v="3"/>
    <n v="822.28"/>
    <n v="7"/>
    <n v="0.05"/>
    <d v="2024-04-24T00:00:00"/>
    <n v="273.41000000000003"/>
    <n v="5468.1619999999994"/>
  </r>
  <r>
    <s v="CUST15"/>
    <s v="David Smith"/>
    <x v="3"/>
    <x v="3"/>
    <n v="521.66999999999996"/>
    <n v="15"/>
    <n v="0.15"/>
    <d v="2024-04-27T00:00:00"/>
    <n v="155.19999999999999"/>
    <n v="6651.2924999999996"/>
  </r>
  <r>
    <s v="CUST16"/>
    <s v="Sarah Anderson"/>
    <x v="2"/>
    <x v="2"/>
    <n v="1502.93"/>
    <n v="14"/>
    <n v="0.2"/>
    <d v="2024-04-28T00:00:00"/>
    <n v="300.58999999999997"/>
    <n v="16832.816000000003"/>
  </r>
  <r>
    <s v="CUST17"/>
    <s v="Robert Anderson"/>
    <x v="2"/>
    <x v="0"/>
    <n v="877.58"/>
    <n v="10"/>
    <n v="0.15"/>
    <d v="2024-04-29T00:00:00"/>
    <n v="298.38"/>
    <n v="7459.43"/>
  </r>
  <r>
    <s v="CUST18"/>
    <s v="Lisa Thomas"/>
    <x v="0"/>
    <x v="0"/>
    <n v="636.70000000000005"/>
    <n v="4"/>
    <n v="0.2"/>
    <d v="2024-04-29T00:00:00"/>
    <n v="203.74"/>
    <n v="2037.4400000000003"/>
  </r>
  <r>
    <s v="CUST19"/>
    <s v="Mary Jackson"/>
    <x v="0"/>
    <x v="0"/>
    <n v="1506.14"/>
    <n v="13"/>
    <n v="0.2"/>
    <d v="2024-04-30T00:00:00"/>
    <n v="481.96"/>
    <n v="15663.856"/>
  </r>
  <r>
    <s v="CUST20"/>
    <s v="Mary Davis"/>
    <x v="4"/>
    <x v="2"/>
    <n v="645.02"/>
    <n v="4"/>
    <n v="0"/>
    <d v="2024-05-02T00:00:00"/>
    <n v="161.26"/>
    <n v="2580.08"/>
  </r>
  <r>
    <s v="CUST21"/>
    <s v="Lisa Davis"/>
    <x v="2"/>
    <x v="1"/>
    <n v="953.3"/>
    <n v="11"/>
    <n v="0"/>
    <d v="2024-05-03T00:00:00"/>
    <n v="476.65"/>
    <n v="10486.3"/>
  </r>
  <r>
    <s v="CUST22"/>
    <s v="Robert Anderson"/>
    <x v="3"/>
    <x v="2"/>
    <n v="388.56"/>
    <n v="14"/>
    <n v="0.15"/>
    <d v="2024-05-04T00:00:00"/>
    <n v="82.57"/>
    <n v="4623.8639999999996"/>
  </r>
  <r>
    <s v="CUST23"/>
    <s v="Mary Davis"/>
    <x v="0"/>
    <x v="0"/>
    <n v="743.17"/>
    <n v="9"/>
    <n v="0"/>
    <d v="2024-05-04T00:00:00"/>
    <n v="297.27"/>
    <n v="6688.53"/>
  </r>
  <r>
    <s v="CUST24"/>
    <s v="Mary Davis"/>
    <x v="4"/>
    <x v="2"/>
    <n v="706.37"/>
    <n v="6"/>
    <n v="0"/>
    <d v="2024-05-04T00:00:00"/>
    <n v="176.59"/>
    <n v="4238.22"/>
  </r>
  <r>
    <s v="CUST25"/>
    <s v="Mary Davis"/>
    <x v="4"/>
    <x v="4"/>
    <n v="925.31"/>
    <n v="8"/>
    <n v="0.1"/>
    <d v="2024-05-06T00:00:00"/>
    <n v="374.75"/>
    <n v="6662.232"/>
  </r>
  <r>
    <s v="CUST26"/>
    <s v="Linda Brown"/>
    <x v="2"/>
    <x v="2"/>
    <n v="1173.1199999999999"/>
    <n v="18"/>
    <n v="0"/>
    <d v="2024-05-06T00:00:00"/>
    <n v="293.27999999999997"/>
    <n v="21116.159999999996"/>
  </r>
  <r>
    <s v="CUST27"/>
    <s v="John Brown"/>
    <x v="3"/>
    <x v="3"/>
    <n v="675.54"/>
    <n v="17"/>
    <n v="0"/>
    <d v="2024-05-08T00:00:00"/>
    <n v="236.44"/>
    <n v="11484.18"/>
  </r>
  <r>
    <s v="CUST28"/>
    <s v="Robert Anderson"/>
    <x v="4"/>
    <x v="0"/>
    <n v="939.09"/>
    <n v="2"/>
    <n v="0.05"/>
    <d v="2024-05-10T00:00:00"/>
    <n v="356.85"/>
    <n v="1784.271"/>
  </r>
  <r>
    <s v="CUST29"/>
    <s v="Linda Taylor"/>
    <x v="1"/>
    <x v="4"/>
    <n v="983.34"/>
    <n v="19"/>
    <n v="0.1"/>
    <d v="2024-05-14T00:00:00"/>
    <n v="398.25"/>
    <n v="16815.114000000001"/>
  </r>
  <r>
    <s v="CUST30"/>
    <s v="James Wilson"/>
    <x v="2"/>
    <x v="2"/>
    <n v="801.21"/>
    <n v="3"/>
    <n v="0.2"/>
    <d v="2024-05-14T00:00:00"/>
    <n v="160.24"/>
    <n v="1922.9040000000002"/>
  </r>
  <r>
    <s v="CUST31"/>
    <s v="David Brown"/>
    <x v="3"/>
    <x v="2"/>
    <n v="1450.71"/>
    <n v="5"/>
    <n v="0.1"/>
    <d v="2024-05-15T00:00:00"/>
    <n v="326.41000000000003"/>
    <n v="6528.1950000000006"/>
  </r>
  <r>
    <s v="CUST32"/>
    <s v="David Davis"/>
    <x v="4"/>
    <x v="0"/>
    <n v="1023.21"/>
    <n v="18"/>
    <n v="0.05"/>
    <d v="2024-05-16T00:00:00"/>
    <n v="388.82"/>
    <n v="17496.891"/>
  </r>
  <r>
    <s v="CUST33"/>
    <s v="Mary Jackson"/>
    <x v="0"/>
    <x v="3"/>
    <n v="853.72"/>
    <n v="5"/>
    <n v="0.15"/>
    <d v="2024-05-16T00:00:00"/>
    <n v="253.98"/>
    <n v="3628.3100000000004"/>
  </r>
  <r>
    <s v="CUST34"/>
    <s v="Sarah Anderson"/>
    <x v="2"/>
    <x v="2"/>
    <n v="967.89"/>
    <n v="10"/>
    <n v="0.1"/>
    <d v="2024-05-17T00:00:00"/>
    <n v="217.78"/>
    <n v="8711.01"/>
  </r>
  <r>
    <s v="CUST35"/>
    <s v="Linda Taylor"/>
    <x v="3"/>
    <x v="4"/>
    <n v="1200.9000000000001"/>
    <n v="14"/>
    <n v="0.05"/>
    <d v="2024-05-17T00:00:00"/>
    <n v="513.38"/>
    <n v="15971.970000000001"/>
  </r>
  <r>
    <s v="CUST36"/>
    <s v="Michael Anderson"/>
    <x v="0"/>
    <x v="0"/>
    <n v="472.38"/>
    <n v="12"/>
    <n v="0.2"/>
    <d v="2024-05-17T00:00:00"/>
    <n v="151.16"/>
    <n v="4534.848"/>
  </r>
  <r>
    <s v="CUST37"/>
    <s v="David Brown"/>
    <x v="1"/>
    <x v="4"/>
    <n v="840.92"/>
    <n v="9"/>
    <n v="0.05"/>
    <d v="2024-05-17T00:00:00"/>
    <n v="359.49"/>
    <n v="7189.8659999999991"/>
  </r>
  <r>
    <s v="CUST38"/>
    <s v="Lisa Davis"/>
    <x v="4"/>
    <x v="3"/>
    <n v="1410.06"/>
    <n v="11"/>
    <n v="0.05"/>
    <d v="2024-05-22T00:00:00"/>
    <n v="468.84"/>
    <n v="14735.126999999999"/>
  </r>
  <r>
    <s v="CUST39"/>
    <s v="Mary Wilson"/>
    <x v="4"/>
    <x v="3"/>
    <n v="773.09"/>
    <n v="13"/>
    <n v="0.15"/>
    <d v="2024-05-22T00:00:00"/>
    <n v="229.99"/>
    <n v="8542.6445000000003"/>
  </r>
  <r>
    <s v="CUST40"/>
    <s v="Emma Wilson"/>
    <x v="1"/>
    <x v="0"/>
    <n v="580.42999999999995"/>
    <n v="19"/>
    <n v="0.15"/>
    <d v="2024-05-23T00:00:00"/>
    <n v="197.35"/>
    <n v="9373.9444999999978"/>
  </r>
  <r>
    <s v="CUST41"/>
    <s v="David Smith"/>
    <x v="2"/>
    <x v="0"/>
    <n v="1151.21"/>
    <n v="15"/>
    <n v="0.1"/>
    <d v="2024-06-02T00:00:00"/>
    <n v="414.44"/>
    <n v="15541.335000000001"/>
  </r>
  <r>
    <s v="CUST42"/>
    <s v="James Wilson"/>
    <x v="4"/>
    <x v="4"/>
    <n v="1025.98"/>
    <n v="5"/>
    <n v="0.2"/>
    <d v="2024-06-04T00:00:00"/>
    <n v="369.35"/>
    <n v="4103.92"/>
  </r>
  <r>
    <s v="CUST43"/>
    <s v="David Davis"/>
    <x v="1"/>
    <x v="4"/>
    <n v="556.41999999999996"/>
    <n v="11"/>
    <n v="0.15"/>
    <d v="2024-06-04T00:00:00"/>
    <n v="212.83"/>
    <n v="5202.527"/>
  </r>
  <r>
    <s v="CUST44"/>
    <s v="James Wilson"/>
    <x v="4"/>
    <x v="0"/>
    <n v="840.85"/>
    <n v="19"/>
    <n v="0.1"/>
    <d v="2024-06-05T00:00:00"/>
    <n v="302.70999999999998"/>
    <n v="14378.535"/>
  </r>
  <r>
    <s v="CUST45"/>
    <s v="Emma Wilson"/>
    <x v="3"/>
    <x v="3"/>
    <n v="1227.25"/>
    <n v="12"/>
    <n v="0.15"/>
    <d v="2024-06-05T00:00:00"/>
    <n v="365.11"/>
    <n v="12517.949999999999"/>
  </r>
  <r>
    <s v="CUST46"/>
    <s v="Linda Davis"/>
    <x v="4"/>
    <x v="2"/>
    <n v="856.7"/>
    <n v="2"/>
    <n v="0"/>
    <d v="2024-06-06T00:00:00"/>
    <n v="214.18"/>
    <n v="1713.4"/>
  </r>
  <r>
    <s v="CUST47"/>
    <s v="David Davis"/>
    <x v="4"/>
    <x v="4"/>
    <n v="1225.42"/>
    <n v="8"/>
    <n v="0.15"/>
    <d v="2024-06-06T00:00:00"/>
    <n v="468.72"/>
    <n v="8332.8559999999998"/>
  </r>
  <r>
    <s v="CUST48"/>
    <s v="Mary Davis"/>
    <x v="3"/>
    <x v="4"/>
    <n v="1001.57"/>
    <n v="12"/>
    <n v="0"/>
    <d v="2024-06-07T00:00:00"/>
    <n v="450.71"/>
    <n v="12018.84"/>
  </r>
  <r>
    <s v="CUST49"/>
    <s v="Michael Anderson"/>
    <x v="1"/>
    <x v="3"/>
    <n v="1186.8499999999999"/>
    <n v="19"/>
    <n v="0.2"/>
    <d v="2024-06-08T00:00:00"/>
    <n v="332.32"/>
    <n v="18040.12"/>
  </r>
  <r>
    <s v="CUST50"/>
    <s v="John Brown"/>
    <x v="2"/>
    <x v="2"/>
    <n v="775.45"/>
    <n v="6"/>
    <n v="0.1"/>
    <d v="2024-06-14T00:00:00"/>
    <n v="174.48"/>
    <n v="4187.4300000000012"/>
  </r>
  <r>
    <s v="CUST51"/>
    <s v="Linda Jackson"/>
    <x v="2"/>
    <x v="2"/>
    <n v="1021.47"/>
    <n v="6"/>
    <n v="0.05"/>
    <d v="2024-06-18T00:00:00"/>
    <n v="242.6"/>
    <n v="5822.3789999999999"/>
  </r>
  <r>
    <s v="CUST52"/>
    <s v="James Wilson"/>
    <x v="2"/>
    <x v="1"/>
    <n v="1226.6199999999999"/>
    <n v="7"/>
    <n v="0.1"/>
    <d v="2024-06-20T00:00:00"/>
    <n v="551.98"/>
    <n v="7727.7060000000001"/>
  </r>
  <r>
    <s v="CUST53"/>
    <s v="Sarah Davis"/>
    <x v="2"/>
    <x v="3"/>
    <n v="1086.93"/>
    <n v="2"/>
    <n v="0"/>
    <d v="2024-06-21T00:00:00"/>
    <n v="380.43"/>
    <n v="2173.86"/>
  </r>
  <r>
    <s v="CUST54"/>
    <s v="Lisa Davis"/>
    <x v="0"/>
    <x v="0"/>
    <n v="942.9"/>
    <n v="18"/>
    <n v="0.1"/>
    <d v="2024-06-23T00:00:00"/>
    <n v="339.44"/>
    <n v="15274.980000000001"/>
  </r>
  <r>
    <s v="CUST55"/>
    <s v="Emma Davis"/>
    <x v="3"/>
    <x v="2"/>
    <n v="818.8"/>
    <n v="15"/>
    <n v="0.15"/>
    <d v="2024-06-25T00:00:00"/>
    <n v="173.99"/>
    <n v="10439.699999999999"/>
  </r>
  <r>
    <s v="CUST56"/>
    <s v="Robert Anderson"/>
    <x v="2"/>
    <x v="3"/>
    <n v="919.04"/>
    <n v="10"/>
    <n v="0.2"/>
    <d v="2024-06-25T00:00:00"/>
    <n v="257.33"/>
    <n v="7352.32"/>
  </r>
  <r>
    <s v="CUST57"/>
    <s v="Emma Taylor"/>
    <x v="4"/>
    <x v="0"/>
    <n v="973.26"/>
    <n v="11"/>
    <n v="0"/>
    <d v="2024-06-27T00:00:00"/>
    <n v="389.3"/>
    <n v="10705.86"/>
  </r>
  <r>
    <s v="CUST58"/>
    <s v="Sarah Davis"/>
    <x v="3"/>
    <x v="2"/>
    <n v="741.61"/>
    <n v="1"/>
    <n v="0.2"/>
    <d v="2024-06-28T00:00:00"/>
    <n v="148.32"/>
    <n v="593.28800000000001"/>
  </r>
  <r>
    <s v="CUST59"/>
    <s v="Emma Davis"/>
    <x v="3"/>
    <x v="0"/>
    <n v="1248.82"/>
    <n v="2"/>
    <n v="0.1"/>
    <d v="2024-06-30T00:00:00"/>
    <n v="449.58"/>
    <n v="2247.8759999999997"/>
  </r>
  <r>
    <s v="CUST60"/>
    <s v="Mary Wilson"/>
    <x v="0"/>
    <x v="1"/>
    <n v="1360.36"/>
    <n v="17"/>
    <n v="0"/>
    <d v="2024-06-30T00:00:00"/>
    <n v="680.18"/>
    <n v="23126.12"/>
  </r>
  <r>
    <s v="CUST61"/>
    <s v="Mary Davis"/>
    <x v="1"/>
    <x v="0"/>
    <n v="1383.3"/>
    <n v="8"/>
    <n v="0.1"/>
    <d v="2024-07-05T00:00:00"/>
    <n v="497.99"/>
    <n v="9959.76"/>
  </r>
  <r>
    <s v="CUST62"/>
    <s v="David Brown"/>
    <x v="4"/>
    <x v="4"/>
    <n v="488.99"/>
    <n v="9"/>
    <n v="0"/>
    <d v="2024-07-06T00:00:00"/>
    <n v="220.05"/>
    <n v="4400.91"/>
  </r>
  <r>
    <s v="CUST63"/>
    <s v="Mary Davis"/>
    <x v="1"/>
    <x v="3"/>
    <n v="933.71"/>
    <n v="17"/>
    <n v="0.1"/>
    <d v="2024-07-08T00:00:00"/>
    <n v="294.12"/>
    <n v="14285.763000000001"/>
  </r>
  <r>
    <s v="CUST64"/>
    <s v="James Davis"/>
    <x v="0"/>
    <x v="2"/>
    <n v="1005.53"/>
    <n v="17"/>
    <n v="0.2"/>
    <d v="2024-07-08T00:00:00"/>
    <n v="201.11"/>
    <n v="13675.207999999999"/>
  </r>
  <r>
    <s v="CUST65"/>
    <s v="Emma Wilson"/>
    <x v="2"/>
    <x v="2"/>
    <n v="1100.0999999999999"/>
    <n v="5"/>
    <n v="0.05"/>
    <d v="2024-07-09T00:00:00"/>
    <n v="261.27"/>
    <n v="5225.4749999999995"/>
  </r>
  <r>
    <s v="CUST66"/>
    <s v="James Wilson"/>
    <x v="3"/>
    <x v="3"/>
    <n v="1034.7"/>
    <n v="15"/>
    <n v="0.15"/>
    <d v="2024-07-14T00:00:00"/>
    <n v="307.82"/>
    <n v="13192.424999999999"/>
  </r>
  <r>
    <s v="CUST67"/>
    <s v="Mary Davis"/>
    <x v="2"/>
    <x v="0"/>
    <n v="876.44"/>
    <n v="12"/>
    <n v="0.05"/>
    <d v="2024-07-15T00:00:00"/>
    <n v="333.05"/>
    <n v="9991.4159999999993"/>
  </r>
  <r>
    <s v="CUST68"/>
    <s v="David Brown"/>
    <x v="0"/>
    <x v="3"/>
    <n v="1371.34"/>
    <n v="5"/>
    <n v="0.05"/>
    <d v="2024-07-15T00:00:00"/>
    <n v="455.97"/>
    <n v="6513.8649999999998"/>
  </r>
  <r>
    <s v="CUST69"/>
    <s v="Mary Jackson"/>
    <x v="3"/>
    <x v="2"/>
    <n v="1020.26"/>
    <n v="11"/>
    <n v="0.05"/>
    <d v="2024-07-21T00:00:00"/>
    <n v="242.31"/>
    <n v="10661.717000000001"/>
  </r>
  <r>
    <s v="CUST70"/>
    <s v="James Davis"/>
    <x v="4"/>
    <x v="4"/>
    <n v="804.81"/>
    <n v="1"/>
    <n v="0.05"/>
    <d v="2024-07-29T00:00:00"/>
    <n v="344.06"/>
    <n v="764.56949999999995"/>
  </r>
  <r>
    <s v="CUST71"/>
    <s v="David Brown"/>
    <x v="4"/>
    <x v="2"/>
    <n v="608.66"/>
    <n v="1"/>
    <n v="0.05"/>
    <d v="2024-07-30T00:00:00"/>
    <n v="144.56"/>
    <n v="578.22699999999998"/>
  </r>
  <r>
    <s v="CUST72"/>
    <s v="Linda Moore"/>
    <x v="2"/>
    <x v="4"/>
    <n v="981.2"/>
    <n v="19"/>
    <n v="0"/>
    <d v="2024-07-31T00:00:00"/>
    <n v="441.54"/>
    <n v="18642.8"/>
  </r>
  <r>
    <s v="CUST73"/>
    <s v="David Brown"/>
    <x v="1"/>
    <x v="2"/>
    <n v="539.77"/>
    <n v="10"/>
    <n v="0.15"/>
    <d v="2024-08-05T00:00:00"/>
    <n v="114.7"/>
    <n v="4588.0450000000001"/>
  </r>
  <r>
    <s v="CUST74"/>
    <s v="David Anderson"/>
    <x v="2"/>
    <x v="0"/>
    <n v="804.45"/>
    <n v="5"/>
    <n v="0.2"/>
    <d v="2024-08-05T00:00:00"/>
    <n v="257.42"/>
    <n v="3217.8"/>
  </r>
  <r>
    <s v="CUST75"/>
    <s v="Emma Davis"/>
    <x v="0"/>
    <x v="2"/>
    <n v="1526.6"/>
    <n v="13"/>
    <n v="0.2"/>
    <d v="2024-08-08T00:00:00"/>
    <n v="305.32"/>
    <n v="15876.64"/>
  </r>
  <r>
    <s v="CUST76"/>
    <s v="Linda Wilson"/>
    <x v="0"/>
    <x v="2"/>
    <n v="1215.26"/>
    <n v="5"/>
    <n v="0.15"/>
    <d v="2024-08-09T00:00:00"/>
    <n v="258.24"/>
    <n v="5164.8550000000005"/>
  </r>
  <r>
    <s v="CUST77"/>
    <s v="Linda Taylor"/>
    <x v="4"/>
    <x v="3"/>
    <n v="1261.3399999999999"/>
    <n v="3"/>
    <n v="0"/>
    <d v="2024-08-15T00:00:00"/>
    <n v="441.47"/>
    <n v="3784.0199999999995"/>
  </r>
  <r>
    <s v="CUST78"/>
    <s v="Lisa Thomas"/>
    <x v="3"/>
    <x v="3"/>
    <n v="518.07000000000005"/>
    <n v="7"/>
    <n v="0.05"/>
    <d v="2024-08-18T00:00:00"/>
    <n v="172.26"/>
    <n v="3445.1655000000001"/>
  </r>
  <r>
    <s v="CUST79"/>
    <s v="Linda Wilson"/>
    <x v="0"/>
    <x v="4"/>
    <n v="1111.3399999999999"/>
    <n v="1"/>
    <n v="0"/>
    <d v="2024-08-19T00:00:00"/>
    <n v="500.1"/>
    <n v="1111.3399999999999"/>
  </r>
  <r>
    <s v="CUST80"/>
    <s v="Mary Davis"/>
    <x v="1"/>
    <x v="1"/>
    <n v="1291.47"/>
    <n v="18"/>
    <n v="0.1"/>
    <d v="2024-08-22T00:00:00"/>
    <n v="581.16"/>
    <n v="20921.813999999998"/>
  </r>
  <r>
    <s v="CUST81"/>
    <s v="David Brown"/>
    <x v="3"/>
    <x v="0"/>
    <n v="679.71"/>
    <n v="19"/>
    <n v="0"/>
    <d v="2024-08-30T00:00:00"/>
    <n v="271.88"/>
    <n v="12914.490000000002"/>
  </r>
  <r>
    <s v="CUST82"/>
    <s v="Linda Jackson"/>
    <x v="1"/>
    <x v="3"/>
    <n v="1143.69"/>
    <n v="17"/>
    <n v="0"/>
    <d v="2024-08-30T00:00:00"/>
    <n v="400.29"/>
    <n v="19442.73"/>
  </r>
  <r>
    <s v="CUST83"/>
    <s v="Linda Brown"/>
    <x v="4"/>
    <x v="2"/>
    <n v="790.08"/>
    <n v="7"/>
    <n v="0.1"/>
    <d v="2024-09-01T00:00:00"/>
    <n v="177.77"/>
    <n v="4977.5040000000008"/>
  </r>
  <r>
    <s v="CUST84"/>
    <s v="Lisa Davis"/>
    <x v="4"/>
    <x v="0"/>
    <n v="1070.68"/>
    <n v="7"/>
    <n v="0.05"/>
    <d v="2024-09-01T00:00:00"/>
    <n v="406.86"/>
    <n v="7120.0219999999999"/>
  </r>
  <r>
    <s v="CUST85"/>
    <s v="David Thomas"/>
    <x v="0"/>
    <x v="1"/>
    <n v="1168.8900000000001"/>
    <n v="4"/>
    <n v="0.1"/>
    <d v="2024-09-09T00:00:00"/>
    <n v="526"/>
    <n v="4208.0040000000008"/>
  </r>
  <r>
    <s v="CUST86"/>
    <s v="James Davis"/>
    <x v="2"/>
    <x v="2"/>
    <n v="1335.87"/>
    <n v="17"/>
    <n v="0"/>
    <d v="2024-09-09T00:00:00"/>
    <n v="333.97"/>
    <n v="22709.789999999997"/>
  </r>
  <r>
    <s v="CUST87"/>
    <s v="David Brown"/>
    <x v="1"/>
    <x v="3"/>
    <n v="873.7"/>
    <n v="9"/>
    <n v="0"/>
    <d v="2024-09-11T00:00:00"/>
    <n v="305.8"/>
    <n v="7863.3"/>
  </r>
  <r>
    <s v="CUST88"/>
    <s v="Sarah Davis"/>
    <x v="0"/>
    <x v="4"/>
    <n v="1443.98"/>
    <n v="19"/>
    <n v="0"/>
    <d v="2024-09-12T00:00:00"/>
    <n v="649.79"/>
    <n v="27435.62"/>
  </r>
  <r>
    <s v="CUST89"/>
    <s v="James Wilson"/>
    <x v="1"/>
    <x v="4"/>
    <n v="1154.33"/>
    <n v="11"/>
    <n v="0.15"/>
    <d v="2024-09-14T00:00:00"/>
    <n v="441.53"/>
    <n v="10792.985499999999"/>
  </r>
  <r>
    <s v="CUST90"/>
    <s v="Linda Brown"/>
    <x v="2"/>
    <x v="0"/>
    <n v="1264.49"/>
    <n v="16"/>
    <n v="0.05"/>
    <d v="2024-09-14T00:00:00"/>
    <n v="480.51"/>
    <n v="19220.248"/>
  </r>
  <r>
    <s v="CUST91"/>
    <s v="Emma Taylor"/>
    <x v="0"/>
    <x v="3"/>
    <n v="1101.55"/>
    <n v="4"/>
    <n v="0.1"/>
    <d v="2024-09-16T00:00:00"/>
    <n v="346.99"/>
    <n v="3965.58"/>
  </r>
  <r>
    <s v="CUST92"/>
    <s v="Robert Anderson"/>
    <x v="2"/>
    <x v="3"/>
    <n v="727.73"/>
    <n v="1"/>
    <n v="0.1"/>
    <d v="2024-09-17T00:00:00"/>
    <n v="229.23"/>
    <n v="654.95699999999999"/>
  </r>
  <r>
    <s v="CUST93"/>
    <s v="Emma Davis"/>
    <x v="1"/>
    <x v="4"/>
    <n v="875.41"/>
    <n v="13"/>
    <n v="0.15"/>
    <d v="2024-09-17T00:00:00"/>
    <n v="334.84"/>
    <n v="9673.2804999999989"/>
  </r>
  <r>
    <s v="CUST94"/>
    <s v="James Wilson"/>
    <x v="0"/>
    <x v="2"/>
    <n v="1158.94"/>
    <n v="19"/>
    <n v="0.2"/>
    <d v="2024-09-18T00:00:00"/>
    <n v="231.79"/>
    <n v="17615.888000000003"/>
  </r>
  <r>
    <s v="CUST95"/>
    <s v="Mary Jackson"/>
    <x v="2"/>
    <x v="0"/>
    <n v="966.3"/>
    <n v="2"/>
    <n v="0.15"/>
    <d v="2024-09-22T00:00:00"/>
    <n v="328.54"/>
    <n v="1642.7099999999998"/>
  </r>
  <r>
    <s v="CUST96"/>
    <s v="James Taylor"/>
    <x v="2"/>
    <x v="0"/>
    <n v="917.48"/>
    <n v="6"/>
    <n v="0"/>
    <d v="2024-09-23T00:00:00"/>
    <n v="366.99"/>
    <n v="5504.88"/>
  </r>
  <r>
    <s v="CUST97"/>
    <s v="Emma Wilson"/>
    <x v="0"/>
    <x v="3"/>
    <n v="1172.97"/>
    <n v="7"/>
    <n v="0.15"/>
    <d v="2024-09-24T00:00:00"/>
    <n v="348.96"/>
    <n v="6979.1715000000004"/>
  </r>
  <r>
    <s v="CUST98"/>
    <s v="James Wilson"/>
    <x v="3"/>
    <x v="1"/>
    <n v="1205.82"/>
    <n v="11"/>
    <n v="0.1"/>
    <d v="2024-09-24T00:00:00"/>
    <n v="542.62"/>
    <n v="11937.617999999999"/>
  </r>
  <r>
    <s v="CUST99"/>
    <s v="Sarah Davis"/>
    <x v="0"/>
    <x v="4"/>
    <n v="826.93"/>
    <n v="10"/>
    <n v="0.2"/>
    <d v="2024-09-29T00:00:00"/>
    <n v="297.69"/>
    <n v="6615.44"/>
  </r>
  <r>
    <s v="CUST100"/>
    <s v="James Wilson"/>
    <x v="4"/>
    <x v="1"/>
    <n v="902.19"/>
    <n v="12"/>
    <n v="0"/>
    <d v="2024-09-29T00:00:00"/>
    <n v="451.1"/>
    <n v="10826.28"/>
  </r>
  <r>
    <s v="CUST101"/>
    <s v="Emma Davis"/>
    <x v="3"/>
    <x v="0"/>
    <n v="585.97"/>
    <n v="17"/>
    <n v="0.1"/>
    <d v="2024-09-30T00:00:00"/>
    <n v="210.95"/>
    <n v="8965.3410000000003"/>
  </r>
  <r>
    <s v="CUST102"/>
    <s v="Michael Anderson"/>
    <x v="3"/>
    <x v="1"/>
    <n v="990.19"/>
    <n v="8"/>
    <n v="0.1"/>
    <d v="2024-09-30T00:00:00"/>
    <n v="445.59"/>
    <n v="7129.3680000000004"/>
  </r>
  <r>
    <s v="CUST103"/>
    <s v="David Davis"/>
    <x v="4"/>
    <x v="2"/>
    <n v="1014.09"/>
    <n v="13"/>
    <n v="0.2"/>
    <d v="2024-10-02T00:00:00"/>
    <n v="202.82"/>
    <n v="10546.536"/>
  </r>
  <r>
    <s v="CUST104"/>
    <s v="Lisa Davis"/>
    <x v="3"/>
    <x v="2"/>
    <n v="925.29"/>
    <n v="17"/>
    <n v="0"/>
    <d v="2024-10-05T00:00:00"/>
    <n v="231.32"/>
    <n v="15729.93"/>
  </r>
  <r>
    <s v="CUST105"/>
    <s v="Mary Jackson"/>
    <x v="1"/>
    <x v="3"/>
    <n v="1286.54"/>
    <n v="8"/>
    <n v="0"/>
    <d v="2024-10-10T00:00:00"/>
    <n v="450.29"/>
    <n v="10292.32"/>
  </r>
  <r>
    <s v="CUST106"/>
    <s v="Sarah Davis"/>
    <x v="2"/>
    <x v="0"/>
    <n v="961.62"/>
    <n v="8"/>
    <n v="0.2"/>
    <d v="2024-10-12T00:00:00"/>
    <n v="307.72000000000003"/>
    <n v="6154.3680000000004"/>
  </r>
  <r>
    <s v="CUST107"/>
    <s v="James Wilson"/>
    <x v="1"/>
    <x v="0"/>
    <n v="1081.1400000000001"/>
    <n v="19"/>
    <n v="0.15"/>
    <d v="2024-10-12T00:00:00"/>
    <n v="367.59"/>
    <n v="17460.411000000004"/>
  </r>
  <r>
    <s v="CUST108"/>
    <s v="James Wilson"/>
    <x v="0"/>
    <x v="1"/>
    <n v="1923.66"/>
    <n v="9"/>
    <n v="0.2"/>
    <d v="2024-10-15T00:00:00"/>
    <n v="769.46"/>
    <n v="13850.352000000003"/>
  </r>
  <r>
    <s v="CUST109"/>
    <s v="Emma Taylor"/>
    <x v="4"/>
    <x v="1"/>
    <n v="728.71"/>
    <n v="14"/>
    <n v="0.1"/>
    <d v="2024-10-16T00:00:00"/>
    <n v="327.92"/>
    <n v="9181.746000000001"/>
  </r>
  <r>
    <s v="CUST110"/>
    <s v="Linda Jackson"/>
    <x v="4"/>
    <x v="1"/>
    <n v="1301.8900000000001"/>
    <n v="7"/>
    <n v="0.15"/>
    <d v="2024-10-16T00:00:00"/>
    <n v="553.29999999999995"/>
    <n v="7746.2455000000009"/>
  </r>
  <r>
    <s v="CUST111"/>
    <s v="Emma Taylor"/>
    <x v="1"/>
    <x v="0"/>
    <n v="980.18"/>
    <n v="16"/>
    <n v="0.1"/>
    <d v="2024-10-17T00:00:00"/>
    <n v="352.86"/>
    <n v="14114.591999999999"/>
  </r>
  <r>
    <s v="CUST112"/>
    <s v="James Wilson"/>
    <x v="0"/>
    <x v="1"/>
    <n v="697.57"/>
    <n v="17"/>
    <n v="0.1"/>
    <d v="2024-10-19T00:00:00"/>
    <n v="313.91000000000003"/>
    <n v="10672.821"/>
  </r>
  <r>
    <s v="CUST113"/>
    <s v="David Anderson"/>
    <x v="0"/>
    <x v="3"/>
    <n v="1193.6099999999999"/>
    <n v="1"/>
    <n v="0.15"/>
    <d v="2024-10-19T00:00:00"/>
    <n v="355.1"/>
    <n v="1014.5684999999999"/>
  </r>
  <r>
    <s v="CUST114"/>
    <s v="Emma Davis"/>
    <x v="2"/>
    <x v="2"/>
    <n v="771.02"/>
    <n v="1"/>
    <n v="0"/>
    <d v="2024-10-20T00:00:00"/>
    <n v="192.76"/>
    <n v="771.02"/>
  </r>
  <r>
    <s v="CUST115"/>
    <s v="Linda Moore"/>
    <x v="3"/>
    <x v="1"/>
    <n v="661.09"/>
    <n v="1"/>
    <n v="0.2"/>
    <d v="2024-10-28T00:00:00"/>
    <n v="264.44"/>
    <n v="528.87200000000007"/>
  </r>
  <r>
    <s v="CUST116"/>
    <s v="David Brown"/>
    <x v="0"/>
    <x v="2"/>
    <n v="688.83"/>
    <n v="15"/>
    <n v="0"/>
    <d v="2024-10-30T00:00:00"/>
    <n v="172.21"/>
    <n v="10332.450000000001"/>
  </r>
  <r>
    <s v="CUST117"/>
    <s v="Linda Wilson"/>
    <x v="4"/>
    <x v="0"/>
    <n v="1249.0999999999999"/>
    <n v="4"/>
    <n v="0.05"/>
    <d v="2024-11-01T00:00:00"/>
    <n v="474.66"/>
    <n v="4746.579999999999"/>
  </r>
  <r>
    <s v="CUST118"/>
    <s v="James Wilson"/>
    <x v="1"/>
    <x v="4"/>
    <n v="1014.22"/>
    <n v="14"/>
    <n v="0.05"/>
    <d v="2024-11-03T00:00:00"/>
    <n v="433.58"/>
    <n v="13489.126"/>
  </r>
  <r>
    <s v="CUST119"/>
    <s v="Lisa Davis"/>
    <x v="1"/>
    <x v="0"/>
    <n v="1010.58"/>
    <n v="2"/>
    <n v="0.15"/>
    <d v="2024-11-09T00:00:00"/>
    <n v="343.6"/>
    <n v="1717.9860000000001"/>
  </r>
  <r>
    <s v="CUST120"/>
    <s v="Mary Wilson"/>
    <x v="3"/>
    <x v="3"/>
    <n v="957.29"/>
    <n v="4"/>
    <n v="0.05"/>
    <d v="2024-11-09T00:00:00"/>
    <n v="318.3"/>
    <n v="3637.7019999999998"/>
  </r>
  <r>
    <s v="CUST121"/>
    <s v="Lisa Thomas"/>
    <x v="3"/>
    <x v="3"/>
    <n v="1077.92"/>
    <n v="3"/>
    <n v="0.05"/>
    <d v="2024-11-12T00:00:00"/>
    <n v="358.41"/>
    <n v="3072.0720000000001"/>
  </r>
  <r>
    <s v="CUST122"/>
    <s v="Linda Brown"/>
    <x v="2"/>
    <x v="1"/>
    <n v="1163.01"/>
    <n v="5"/>
    <n v="0"/>
    <d v="2024-11-15T00:00:00"/>
    <n v="581.5"/>
    <n v="5815.05"/>
  </r>
  <r>
    <s v="CUST123"/>
    <s v="Lisa Thomas"/>
    <x v="1"/>
    <x v="4"/>
    <n v="1014.56"/>
    <n v="10"/>
    <n v="0.1"/>
    <d v="2024-11-16T00:00:00"/>
    <n v="410.9"/>
    <n v="9131.0399999999991"/>
  </r>
  <r>
    <s v="CUST124"/>
    <s v="James Taylor"/>
    <x v="2"/>
    <x v="2"/>
    <n v="718.04"/>
    <n v="14"/>
    <n v="0"/>
    <d v="2024-11-17T00:00:00"/>
    <n v="179.51"/>
    <n v="10052.56"/>
  </r>
  <r>
    <s v="CUST125"/>
    <s v="James Taylor"/>
    <x v="4"/>
    <x v="1"/>
    <n v="1277.8499999999999"/>
    <n v="18"/>
    <n v="0.2"/>
    <d v="2024-11-17T00:00:00"/>
    <n v="511.14"/>
    <n v="18401.04"/>
  </r>
  <r>
    <s v="CUST126"/>
    <s v="James Wilson"/>
    <x v="3"/>
    <x v="2"/>
    <n v="706.73"/>
    <n v="1"/>
    <n v="0.15"/>
    <d v="2024-11-17T00:00:00"/>
    <n v="150.18"/>
    <n v="600.72050000000002"/>
  </r>
  <r>
    <s v="CUST127"/>
    <s v="Linda Brown"/>
    <x v="1"/>
    <x v="2"/>
    <n v="1410.59"/>
    <n v="15"/>
    <n v="0"/>
    <d v="2024-11-19T00:00:00"/>
    <n v="352.65"/>
    <n v="21158.85"/>
  </r>
  <r>
    <s v="CUST128"/>
    <s v="Emma Wilson"/>
    <x v="2"/>
    <x v="3"/>
    <n v="1350.33"/>
    <n v="10"/>
    <n v="0"/>
    <d v="2024-11-19T00:00:00"/>
    <n v="472.62"/>
    <n v="13503.3"/>
  </r>
  <r>
    <s v="CUST129"/>
    <s v="Lisa Thomas"/>
    <x v="1"/>
    <x v="2"/>
    <n v="919.18"/>
    <n v="4"/>
    <n v="0.15"/>
    <d v="2024-11-19T00:00:00"/>
    <n v="195.33"/>
    <n v="3125.2119999999995"/>
  </r>
  <r>
    <s v="CUST130"/>
    <s v="James Wilson"/>
    <x v="0"/>
    <x v="2"/>
    <n v="258.51"/>
    <n v="19"/>
    <n v="0"/>
    <d v="2024-11-20T00:00:00"/>
    <n v="64.63"/>
    <n v="4911.6899999999996"/>
  </r>
  <r>
    <s v="CUST131"/>
    <s v="Emma Wilson"/>
    <x v="1"/>
    <x v="0"/>
    <n v="1213.48"/>
    <n v="5"/>
    <n v="0.05"/>
    <d v="2024-11-20T00:00:00"/>
    <n v="461.12"/>
    <n v="5764.03"/>
  </r>
  <r>
    <s v="CUST132"/>
    <s v="Emma Davis"/>
    <x v="4"/>
    <x v="0"/>
    <n v="1150.28"/>
    <n v="8"/>
    <n v="0.05"/>
    <d v="2024-11-26T00:00:00"/>
    <n v="437.11"/>
    <n v="8742.1279999999988"/>
  </r>
  <r>
    <s v="CUST133"/>
    <s v="David Anderson"/>
    <x v="2"/>
    <x v="3"/>
    <n v="853.86"/>
    <n v="8"/>
    <n v="0.1"/>
    <d v="2024-11-26T00:00:00"/>
    <n v="268.97000000000003"/>
    <n v="6147.7920000000004"/>
  </r>
  <r>
    <s v="CUST134"/>
    <s v="Lisa Thomas"/>
    <x v="2"/>
    <x v="2"/>
    <n v="1061.04"/>
    <n v="1"/>
    <n v="0"/>
    <d v="2024-11-28T00:00:00"/>
    <n v="265.26"/>
    <n v="1061.04"/>
  </r>
  <r>
    <s v="CUST135"/>
    <s v="Sarah Anderson"/>
    <x v="0"/>
    <x v="2"/>
    <n v="894.55"/>
    <n v="19"/>
    <n v="0.2"/>
    <d v="2024-11-29T00:00:00"/>
    <n v="178.91"/>
    <n v="13597.160000000002"/>
  </r>
  <r>
    <s v="CUST136"/>
    <s v="Emma Davis"/>
    <x v="3"/>
    <x v="4"/>
    <n v="833.91"/>
    <n v="3"/>
    <n v="0.05"/>
    <d v="2024-11-30T00:00:00"/>
    <n v="356.5"/>
    <n v="2376.6435000000001"/>
  </r>
  <r>
    <s v="CUST137"/>
    <s v="David Anderson"/>
    <x v="0"/>
    <x v="3"/>
    <n v="820.19"/>
    <n v="4"/>
    <n v="0.2"/>
    <d v="2024-12-04T00:00:00"/>
    <n v="229.65"/>
    <n v="2624.6080000000002"/>
  </r>
  <r>
    <s v="CUST138"/>
    <s v="Emma Davis"/>
    <x v="4"/>
    <x v="2"/>
    <n v="511.74"/>
    <n v="8"/>
    <n v="0.05"/>
    <d v="2024-12-05T00:00:00"/>
    <n v="121.54"/>
    <n v="3889.2239999999997"/>
  </r>
  <r>
    <s v="CUST139"/>
    <s v="Emma Wilson"/>
    <x v="2"/>
    <x v="3"/>
    <n v="806.03"/>
    <n v="19"/>
    <n v="0.05"/>
    <d v="2024-12-12T00:00:00"/>
    <n v="268"/>
    <n v="14548.841499999999"/>
  </r>
  <r>
    <s v="CUST140"/>
    <s v="Michael Anderson"/>
    <x v="4"/>
    <x v="3"/>
    <n v="1432.47"/>
    <n v="16"/>
    <n v="0.15"/>
    <d v="2024-12-14T00:00:00"/>
    <n v="426.16"/>
    <n v="19481.592000000001"/>
  </r>
  <r>
    <s v="CUST141"/>
    <s v="Linda Wilson"/>
    <x v="4"/>
    <x v="2"/>
    <n v="1488.58"/>
    <n v="10"/>
    <n v="0.15"/>
    <d v="2024-12-14T00:00:00"/>
    <n v="316.32"/>
    <n v="12652.929999999998"/>
  </r>
  <r>
    <s v="CUST142"/>
    <s v="Emma Taylor"/>
    <x v="1"/>
    <x v="0"/>
    <n v="1231.26"/>
    <n v="9"/>
    <n v="0"/>
    <d v="2024-12-20T00:00:00"/>
    <n v="492.5"/>
    <n v="11081.34"/>
  </r>
  <r>
    <s v="CUST143"/>
    <s v="Sarah Anderson"/>
    <x v="0"/>
    <x v="2"/>
    <n v="1161.67"/>
    <n v="19"/>
    <n v="0.2"/>
    <d v="2024-12-21T00:00:00"/>
    <n v="232.33"/>
    <n v="17657.384000000002"/>
  </r>
  <r>
    <s v="CUST144"/>
    <s v="Lisa Thomas"/>
    <x v="4"/>
    <x v="4"/>
    <n v="388.23"/>
    <n v="16"/>
    <n v="0.05"/>
    <d v="2024-12-24T00:00:00"/>
    <n v="165.97"/>
    <n v="5901.0959999999995"/>
  </r>
  <r>
    <s v="CUST145"/>
    <s v="Mary Davis"/>
    <x v="3"/>
    <x v="1"/>
    <n v="1589.42"/>
    <n v="6"/>
    <n v="0.15"/>
    <d v="2024-12-25T00:00:00"/>
    <n v="675.5"/>
    <n v="8106.0420000000004"/>
  </r>
  <r>
    <s v="CUST146"/>
    <s v="David Anderson"/>
    <x v="3"/>
    <x v="1"/>
    <n v="336.66"/>
    <n v="13"/>
    <n v="0.2"/>
    <d v="2024-12-25T00:00:00"/>
    <n v="134.66"/>
    <n v="3501.2640000000001"/>
  </r>
  <r>
    <s v="CUST147"/>
    <s v="James Wilson"/>
    <x v="0"/>
    <x v="0"/>
    <n v="1353.79"/>
    <n v="14"/>
    <n v="0.1"/>
    <d v="2024-12-30T00:00:00"/>
    <n v="487.36"/>
    <n v="17057.753999999997"/>
  </r>
  <r>
    <s v="CUST148"/>
    <s v="Linda Moore"/>
    <x v="4"/>
    <x v="1"/>
    <n v="662.61"/>
    <n v="11"/>
    <n v="0.05"/>
    <d v="2025-01-01T00:00:00"/>
    <n v="314.74"/>
    <n v="6924.2744999999995"/>
  </r>
  <r>
    <s v="CUST149"/>
    <s v="Lisa Davis"/>
    <x v="3"/>
    <x v="4"/>
    <n v="309.42"/>
    <n v="1"/>
    <n v="0.2"/>
    <d v="2025-01-01T00:00:00"/>
    <n v="111.39"/>
    <n v="247.53600000000003"/>
  </r>
  <r>
    <s v="CUST150"/>
    <s v="Linda Wilson"/>
    <x v="3"/>
    <x v="0"/>
    <n v="884.63"/>
    <n v="18"/>
    <n v="0.1"/>
    <d v="2025-01-02T00:00:00"/>
    <n v="318.47000000000003"/>
    <n v="14331.006000000001"/>
  </r>
  <r>
    <s v="CUST151"/>
    <s v="James Wilson"/>
    <x v="4"/>
    <x v="4"/>
    <n v="745.05"/>
    <n v="10"/>
    <n v="0.1"/>
    <d v="2025-01-03T00:00:00"/>
    <n v="301.75"/>
    <n v="6705.45"/>
  </r>
  <r>
    <s v="CUST152"/>
    <s v="James Taylor"/>
    <x v="2"/>
    <x v="1"/>
    <n v="870.23"/>
    <n v="5"/>
    <n v="0.05"/>
    <d v="2025-01-03T00:00:00"/>
    <n v="413.36"/>
    <n v="4133.5924999999997"/>
  </r>
  <r>
    <s v="CUST153"/>
    <s v="Linda Wilson"/>
    <x v="0"/>
    <x v="3"/>
    <n v="862.19"/>
    <n v="18"/>
    <n v="0.05"/>
    <d v="2025-01-06T00:00:00"/>
    <n v="286.68"/>
    <n v="14743.449000000001"/>
  </r>
  <r>
    <s v="CUST154"/>
    <s v="Mary Wilson"/>
    <x v="3"/>
    <x v="1"/>
    <n v="1171.18"/>
    <n v="19"/>
    <n v="0.05"/>
    <d v="2025-01-10T00:00:00"/>
    <n v="556.30999999999995"/>
    <n v="21139.798999999999"/>
  </r>
  <r>
    <s v="CUST155"/>
    <s v="Robert Anderson"/>
    <x v="2"/>
    <x v="3"/>
    <n v="1054.56"/>
    <n v="11"/>
    <n v="0.1"/>
    <d v="2025-01-12T00:00:00"/>
    <n v="332.19"/>
    <n v="10440.144"/>
  </r>
  <r>
    <s v="CUST156"/>
    <s v="James Wilson"/>
    <x v="3"/>
    <x v="2"/>
    <n v="1681.21"/>
    <n v="5"/>
    <n v="0.2"/>
    <d v="2025-01-13T00:00:00"/>
    <n v="336.24"/>
    <n v="6724.84"/>
  </r>
  <r>
    <s v="CUST157"/>
    <s v="David Thomas"/>
    <x v="0"/>
    <x v="1"/>
    <n v="379.77"/>
    <n v="9"/>
    <n v="0.05"/>
    <d v="2025-01-16T00:00:00"/>
    <n v="180.39"/>
    <n v="3247.0334999999995"/>
  </r>
  <r>
    <s v="CUST158"/>
    <s v="Lisa Thomas"/>
    <x v="4"/>
    <x v="1"/>
    <n v="1076.33"/>
    <n v="2"/>
    <n v="0.1"/>
    <d v="2025-01-17T00:00:00"/>
    <n v="484.35"/>
    <n v="1937.394"/>
  </r>
  <r>
    <s v="CUST159"/>
    <s v="Mary Davis"/>
    <x v="4"/>
    <x v="4"/>
    <n v="1250.71"/>
    <n v="7"/>
    <n v="0"/>
    <d v="2025-01-17T00:00:00"/>
    <n v="562.82000000000005"/>
    <n v="8754.9700000000012"/>
  </r>
  <r>
    <s v="CUST160"/>
    <s v="James Taylor"/>
    <x v="2"/>
    <x v="1"/>
    <n v="1118.3399999999999"/>
    <n v="6"/>
    <n v="0.2"/>
    <d v="2025-01-17T00:00:00"/>
    <n v="447.34"/>
    <n v="5368.0319999999992"/>
  </r>
  <r>
    <s v="CUST161"/>
    <s v="Linda Taylor"/>
    <x v="3"/>
    <x v="1"/>
    <n v="1622.62"/>
    <n v="12"/>
    <n v="0.2"/>
    <d v="2025-01-20T00:00:00"/>
    <n v="649.04999999999995"/>
    <n v="15577.152"/>
  </r>
  <r>
    <s v="CUST162"/>
    <s v="Lisa Davis"/>
    <x v="3"/>
    <x v="0"/>
    <n v="640.64"/>
    <n v="11"/>
    <n v="0.2"/>
    <d v="2025-01-21T00:00:00"/>
    <n v="205"/>
    <n v="5637.6320000000005"/>
  </r>
  <r>
    <s v="CUST163"/>
    <s v="Sarah Anderson"/>
    <x v="0"/>
    <x v="1"/>
    <n v="585.16"/>
    <n v="17"/>
    <n v="0.1"/>
    <d v="2025-01-27T00:00:00"/>
    <n v="263.32"/>
    <n v="8952.9480000000003"/>
  </r>
  <r>
    <s v="CUST164"/>
    <s v="Mary Davis"/>
    <x v="1"/>
    <x v="1"/>
    <n v="1109.98"/>
    <n v="5"/>
    <n v="0.2"/>
    <d v="2025-02-02T00:00:00"/>
    <n v="443.99"/>
    <n v="4439.92"/>
  </r>
  <r>
    <s v="CUST165"/>
    <s v="Lisa Thomas"/>
    <x v="1"/>
    <x v="0"/>
    <n v="1098.08"/>
    <n v="9"/>
    <n v="0.1"/>
    <d v="2025-02-04T00:00:00"/>
    <n v="395.31"/>
    <n v="8894.4480000000003"/>
  </r>
  <r>
    <s v="CUST166"/>
    <s v="Lisa Davis"/>
    <x v="0"/>
    <x v="4"/>
    <n v="827.25"/>
    <n v="7"/>
    <n v="0.1"/>
    <d v="2025-02-05T00:00:00"/>
    <n v="335.04"/>
    <n v="5211.6750000000002"/>
  </r>
  <r>
    <s v="CUST167"/>
    <s v="Linda Wilson"/>
    <x v="4"/>
    <x v="1"/>
    <n v="741.88"/>
    <n v="16"/>
    <n v="0.1"/>
    <d v="2025-02-07T00:00:00"/>
    <n v="333.85"/>
    <n v="10683.072"/>
  </r>
  <r>
    <s v="CUST168"/>
    <s v="James Davis"/>
    <x v="1"/>
    <x v="4"/>
    <n v="1311.26"/>
    <n v="6"/>
    <n v="0.1"/>
    <d v="2025-02-10T00:00:00"/>
    <n v="531.05999999999995"/>
    <n v="7080.8040000000001"/>
  </r>
  <r>
    <s v="CUST169"/>
    <s v="Mary Davis"/>
    <x v="2"/>
    <x v="4"/>
    <n v="573.32000000000005"/>
    <n v="19"/>
    <n v="0.1"/>
    <d v="2025-02-15T00:00:00"/>
    <n v="232.19"/>
    <n v="9803.7720000000027"/>
  </r>
  <r>
    <s v="CUST170"/>
    <s v="James Wilson"/>
    <x v="0"/>
    <x v="2"/>
    <n v="1115.22"/>
    <n v="14"/>
    <n v="0.2"/>
    <d v="2025-02-17T00:00:00"/>
    <n v="223.04"/>
    <n v="12490.464"/>
  </r>
  <r>
    <s v="CUST171"/>
    <s v="Lisa Thomas"/>
    <x v="3"/>
    <x v="1"/>
    <n v="845.84"/>
    <n v="4"/>
    <n v="0"/>
    <d v="2025-02-19T00:00:00"/>
    <n v="422.92"/>
    <n v="3383.36"/>
  </r>
  <r>
    <s v="CUST172"/>
    <s v="David Brown"/>
    <x v="0"/>
    <x v="2"/>
    <n v="1029.8"/>
    <n v="3"/>
    <n v="0"/>
    <d v="2025-02-20T00:00:00"/>
    <n v="257.45"/>
    <n v="3089.3999999999996"/>
  </r>
  <r>
    <s v="CUST173"/>
    <s v="Mary Davis"/>
    <x v="3"/>
    <x v="0"/>
    <n v="1189.83"/>
    <n v="2"/>
    <n v="0.2"/>
    <d v="2025-02-21T00:00:00"/>
    <n v="380.75"/>
    <n v="1903.7280000000001"/>
  </r>
  <r>
    <s v="CUST174"/>
    <s v="Sarah Anderson"/>
    <x v="2"/>
    <x v="0"/>
    <n v="704.28"/>
    <n v="15"/>
    <n v="0.2"/>
    <d v="2025-02-24T00:00:00"/>
    <n v="225.37"/>
    <n v="8451.3599999999988"/>
  </r>
  <r>
    <s v="CUST175"/>
    <s v="Mary Jackson"/>
    <x v="4"/>
    <x v="4"/>
    <n v="1618.22"/>
    <n v="12"/>
    <n v="0.2"/>
    <d v="2025-02-24T00:00:00"/>
    <n v="582.55999999999995"/>
    <n v="15534.912"/>
  </r>
  <r>
    <s v="CUST176"/>
    <s v="Linda Taylor"/>
    <x v="4"/>
    <x v="0"/>
    <n v="1014.43"/>
    <n v="2"/>
    <n v="0.15"/>
    <d v="2025-02-25T00:00:00"/>
    <n v="344.91"/>
    <n v="1724.5309999999999"/>
  </r>
  <r>
    <s v="CUST177"/>
    <s v="Mary Davis"/>
    <x v="4"/>
    <x v="1"/>
    <n v="826.97"/>
    <n v="18"/>
    <n v="0.2"/>
    <d v="2025-02-27T00:00:00"/>
    <n v="330.79"/>
    <n v="11908.368000000002"/>
  </r>
  <r>
    <s v="CUST178"/>
    <s v="Mary Davis"/>
    <x v="4"/>
    <x v="1"/>
    <n v="1022.23"/>
    <n v="8"/>
    <n v="0.1"/>
    <d v="2025-03-01T00:00:00"/>
    <n v="460"/>
    <n v="7360.0560000000005"/>
  </r>
  <r>
    <s v="CUST179"/>
    <s v="Linda Wilson"/>
    <x v="1"/>
    <x v="0"/>
    <n v="1099.69"/>
    <n v="6"/>
    <n v="0"/>
    <d v="2025-03-02T00:00:00"/>
    <n v="439.88"/>
    <n v="6598.14"/>
  </r>
  <r>
    <s v="CUST180"/>
    <s v="Sarah Davis"/>
    <x v="3"/>
    <x v="0"/>
    <n v="710.52"/>
    <n v="8"/>
    <n v="0.1"/>
    <d v="2025-03-05T00:00:00"/>
    <n v="255.79"/>
    <n v="5115.7439999999997"/>
  </r>
  <r>
    <s v="CUST181"/>
    <s v="Mary Wilson"/>
    <x v="3"/>
    <x v="0"/>
    <n v="499.18"/>
    <n v="15"/>
    <n v="0.2"/>
    <d v="2025-03-08T00:00:00"/>
    <n v="159.74"/>
    <n v="5990.16"/>
  </r>
  <r>
    <s v="CUST182"/>
    <s v="Emma Davis"/>
    <x v="2"/>
    <x v="0"/>
    <n v="1064.19"/>
    <n v="18"/>
    <n v="0.05"/>
    <d v="2025-03-09T00:00:00"/>
    <n v="404.39"/>
    <n v="18197.649000000001"/>
  </r>
  <r>
    <s v="CUST183"/>
    <s v="Emma Davis"/>
    <x v="1"/>
    <x v="4"/>
    <n v="438.76"/>
    <n v="18"/>
    <n v="0.05"/>
    <d v="2025-03-10T00:00:00"/>
    <n v="187.57"/>
    <n v="7502.7960000000003"/>
  </r>
  <r>
    <s v="CUST184"/>
    <s v="David Brown"/>
    <x v="0"/>
    <x v="1"/>
    <n v="864.98"/>
    <n v="2"/>
    <n v="0.05"/>
    <d v="2025-03-11T00:00:00"/>
    <n v="410.87"/>
    <n v="1643.462"/>
  </r>
  <r>
    <s v="CUST185"/>
    <s v="David Brown"/>
    <x v="0"/>
    <x v="3"/>
    <n v="984.93"/>
    <n v="14"/>
    <n v="0.2"/>
    <d v="2025-03-17T00:00:00"/>
    <n v="275.77999999999997"/>
    <n v="11031.216"/>
  </r>
  <r>
    <s v="CUST186"/>
    <s v="David Brown"/>
    <x v="0"/>
    <x v="1"/>
    <n v="1493.49"/>
    <n v="18"/>
    <n v="0"/>
    <d v="2025-03-18T00:00:00"/>
    <n v="746.74"/>
    <n v="26882.82"/>
  </r>
  <r>
    <s v="CUST187"/>
    <s v="Linda Taylor"/>
    <x v="2"/>
    <x v="1"/>
    <n v="689.43"/>
    <n v="9"/>
    <n v="0.1"/>
    <d v="2025-03-20T00:00:00"/>
    <n v="310.24"/>
    <n v="5584.3829999999998"/>
  </r>
  <r>
    <s v="CUST188"/>
    <s v="Mary Wilson"/>
    <x v="2"/>
    <x v="1"/>
    <n v="682.24"/>
    <n v="1"/>
    <n v="0"/>
    <d v="2025-03-22T00:00:00"/>
    <n v="341.12"/>
    <n v="682.24"/>
  </r>
  <r>
    <s v="CUST189"/>
    <s v="Michael Anderson"/>
    <x v="3"/>
    <x v="2"/>
    <n v="458.54"/>
    <n v="15"/>
    <n v="0.2"/>
    <d v="2025-03-25T00:00:00"/>
    <n v="91.71"/>
    <n v="5502.4800000000005"/>
  </r>
  <r>
    <s v="CUST190"/>
    <s v="Michael Anderson"/>
    <x v="2"/>
    <x v="3"/>
    <n v="1184.25"/>
    <n v="11"/>
    <n v="0.2"/>
    <d v="2025-03-26T00:00:00"/>
    <n v="331.59"/>
    <n v="10421.400000000001"/>
  </r>
  <r>
    <s v="CUST191"/>
    <s v="James Davis"/>
    <x v="2"/>
    <x v="1"/>
    <n v="762.14"/>
    <n v="9"/>
    <n v="0"/>
    <d v="2025-03-27T00:00:00"/>
    <n v="381.07"/>
    <n v="6859.26"/>
  </r>
  <r>
    <s v="CUST192"/>
    <s v="Linda Taylor"/>
    <x v="3"/>
    <x v="0"/>
    <n v="750.71"/>
    <n v="10"/>
    <n v="0.15"/>
    <d v="2025-03-27T00:00:00"/>
    <n v="255.24"/>
    <n v="6381.0349999999999"/>
  </r>
  <r>
    <s v="CUST193"/>
    <s v="David Anderson"/>
    <x v="4"/>
    <x v="1"/>
    <n v="1456.94"/>
    <n v="14"/>
    <n v="0.05"/>
    <d v="2025-03-29T00:00:00"/>
    <n v="692.05"/>
    <n v="19377.302"/>
  </r>
  <r>
    <s v="CUST194"/>
    <s v="Emma Wilson"/>
    <x v="1"/>
    <x v="3"/>
    <n v="1093.3800000000001"/>
    <n v="17"/>
    <n v="0.1"/>
    <d v="2025-03-29T00:00:00"/>
    <n v="344.41"/>
    <n v="16728.714000000004"/>
  </r>
  <r>
    <s v="CUST195"/>
    <s v="Sarah Anderson"/>
    <x v="0"/>
    <x v="1"/>
    <n v="934.27"/>
    <n v="8"/>
    <n v="0.15"/>
    <d v="2025-03-30T00:00:00"/>
    <n v="397.06"/>
    <n v="6353.0360000000001"/>
  </r>
  <r>
    <s v="CUST196"/>
    <s v="David Thomas"/>
    <x v="4"/>
    <x v="1"/>
    <n v="1465.35"/>
    <n v="8"/>
    <n v="0.2"/>
    <d v="2025-03-30T00:00:00"/>
    <n v="586.14"/>
    <n v="9378.24"/>
  </r>
  <r>
    <s v="CUST197"/>
    <s v="Robert Anderson"/>
    <x v="2"/>
    <x v="4"/>
    <n v="740.8"/>
    <n v="3"/>
    <n v="0"/>
    <d v="2025-04-02T00:00:00"/>
    <n v="333.36"/>
    <n v="2222.3999999999996"/>
  </r>
  <r>
    <s v="CUST198"/>
    <s v="Sarah Anderson"/>
    <x v="0"/>
    <x v="4"/>
    <n v="545.44000000000005"/>
    <n v="17"/>
    <n v="0"/>
    <d v="2025-04-05T00:00:00"/>
    <n v="245.45"/>
    <n v="9272.4800000000014"/>
  </r>
  <r>
    <s v="CUST199"/>
    <s v="David Thomas"/>
    <x v="1"/>
    <x v="0"/>
    <n v="997.61"/>
    <n v="8"/>
    <n v="0.05"/>
    <d v="2025-04-05T00:00:00"/>
    <n v="379.09"/>
    <n v="7581.8359999999993"/>
  </r>
  <r>
    <s v="CUST200"/>
    <s v="David Thomas"/>
    <x v="2"/>
    <x v="1"/>
    <n v="928.32"/>
    <n v="2"/>
    <n v="0.05"/>
    <d v="2025-04-07T00:00:00"/>
    <n v="440.95"/>
    <n v="1763.8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8"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G10" firstHeaderRow="1" firstDataRow="2" firstDataCol="1"/>
  <pivotFields count="10">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4" showAll="0"/>
    <pivotField showAll="0"/>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3" type="button" dataOnly="0" labelOnly="1" outline="0" axis="axisCol" fieldPosition="0"/>
    </format>
    <format dxfId="5">
      <pivotArea type="topRight" dataOnly="0" labelOnly="1" outline="0"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fieldPosition="0">
        <references count="1">
          <reference field="3" count="0"/>
        </references>
      </pivotArea>
    </format>
    <format dxfId="0">
      <pivotArea dataOnly="0" labelOnly="1" grandCol="1" outline="0" fieldPosition="0"/>
    </format>
  </formats>
  <chartFormats count="15">
    <chartFormat chart="9" format="15" series="1">
      <pivotArea type="data" outline="0" fieldPosition="0">
        <references count="2">
          <reference field="4294967294" count="1" selected="0">
            <x v="0"/>
          </reference>
          <reference field="3" count="1" selected="0">
            <x v="0"/>
          </reference>
        </references>
      </pivotArea>
    </chartFormat>
    <chartFormat chart="9" format="16" series="1">
      <pivotArea type="data" outline="0" fieldPosition="0">
        <references count="2">
          <reference field="4294967294" count="1" selected="0">
            <x v="0"/>
          </reference>
          <reference field="3" count="1" selected="0">
            <x v="1"/>
          </reference>
        </references>
      </pivotArea>
    </chartFormat>
    <chartFormat chart="9" format="17" series="1">
      <pivotArea type="data" outline="0" fieldPosition="0">
        <references count="2">
          <reference field="4294967294" count="1" selected="0">
            <x v="0"/>
          </reference>
          <reference field="3" count="1" selected="0">
            <x v="2"/>
          </reference>
        </references>
      </pivotArea>
    </chartFormat>
    <chartFormat chart="9" format="18" series="1">
      <pivotArea type="data" outline="0" fieldPosition="0">
        <references count="2">
          <reference field="4294967294" count="1" selected="0">
            <x v="0"/>
          </reference>
          <reference field="3" count="1" selected="0">
            <x v="3"/>
          </reference>
        </references>
      </pivotArea>
    </chartFormat>
    <chartFormat chart="9" format="19" series="1">
      <pivotArea type="data" outline="0" fieldPosition="0">
        <references count="2">
          <reference field="4294967294" count="1" selected="0">
            <x v="0"/>
          </reference>
          <reference field="3" count="1" selected="0">
            <x v="4"/>
          </reference>
        </references>
      </pivotArea>
    </chartFormat>
    <chartFormat chart="11" format="15" series="1">
      <pivotArea type="data" outline="0" fieldPosition="0">
        <references count="2">
          <reference field="4294967294" count="1" selected="0">
            <x v="0"/>
          </reference>
          <reference field="3" count="1" selected="0">
            <x v="0"/>
          </reference>
        </references>
      </pivotArea>
    </chartFormat>
    <chartFormat chart="11" format="16" series="1">
      <pivotArea type="data" outline="0" fieldPosition="0">
        <references count="2">
          <reference field="4294967294" count="1" selected="0">
            <x v="0"/>
          </reference>
          <reference field="3" count="1" selected="0">
            <x v="1"/>
          </reference>
        </references>
      </pivotArea>
    </chartFormat>
    <chartFormat chart="11" format="17" series="1">
      <pivotArea type="data" outline="0" fieldPosition="0">
        <references count="2">
          <reference field="4294967294" count="1" selected="0">
            <x v="0"/>
          </reference>
          <reference field="3" count="1" selected="0">
            <x v="2"/>
          </reference>
        </references>
      </pivotArea>
    </chartFormat>
    <chartFormat chart="11" format="18" series="1">
      <pivotArea type="data" outline="0" fieldPosition="0">
        <references count="2">
          <reference field="4294967294" count="1" selected="0">
            <x v="0"/>
          </reference>
          <reference field="3" count="1" selected="0">
            <x v="3"/>
          </reference>
        </references>
      </pivotArea>
    </chartFormat>
    <chartFormat chart="11" format="19" series="1">
      <pivotArea type="data" outline="0" fieldPosition="0">
        <references count="2">
          <reference field="4294967294" count="1" selected="0">
            <x v="0"/>
          </reference>
          <reference field="3" count="1" selected="0">
            <x v="4"/>
          </reference>
        </references>
      </pivotArea>
    </chartFormat>
    <chartFormat chart="13" format="25" series="1">
      <pivotArea type="data" outline="0" fieldPosition="0">
        <references count="2">
          <reference field="4294967294" count="1" selected="0">
            <x v="0"/>
          </reference>
          <reference field="3" count="1" selected="0">
            <x v="0"/>
          </reference>
        </references>
      </pivotArea>
    </chartFormat>
    <chartFormat chart="13" format="26" series="1">
      <pivotArea type="data" outline="0" fieldPosition="0">
        <references count="2">
          <reference field="4294967294" count="1" selected="0">
            <x v="0"/>
          </reference>
          <reference field="3" count="1" selected="0">
            <x v="1"/>
          </reference>
        </references>
      </pivotArea>
    </chartFormat>
    <chartFormat chart="13" format="27" series="1">
      <pivotArea type="data" outline="0" fieldPosition="0">
        <references count="2">
          <reference field="4294967294" count="1" selected="0">
            <x v="0"/>
          </reference>
          <reference field="3" count="1" selected="0">
            <x v="2"/>
          </reference>
        </references>
      </pivotArea>
    </chartFormat>
    <chartFormat chart="13" format="28" series="1">
      <pivotArea type="data" outline="0" fieldPosition="0">
        <references count="2">
          <reference field="4294967294" count="1" selected="0">
            <x v="0"/>
          </reference>
          <reference field="3" count="1" selected="0">
            <x v="3"/>
          </reference>
        </references>
      </pivotArea>
    </chartFormat>
    <chartFormat chart="13" format="29"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0"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K17:L23" firstHeaderRow="1" firstDataRow="1" firstDataCol="1"/>
  <pivotFields count="10">
    <pivotField showAll="0"/>
    <pivotField showAll="0"/>
    <pivotField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4" showAll="0"/>
    <pivotField showAll="0"/>
    <pivotField showAll="0"/>
  </pivotFields>
  <rowFields count="1">
    <field x="3"/>
  </rowFields>
  <rowItems count="6">
    <i>
      <x/>
    </i>
    <i>
      <x v="1"/>
    </i>
    <i>
      <x v="2"/>
    </i>
    <i>
      <x v="3"/>
    </i>
    <i>
      <x v="4"/>
    </i>
    <i t="grand">
      <x/>
    </i>
  </rowItems>
  <colItems count="1">
    <i/>
  </colItems>
  <dataFields count="1">
    <dataField name="Sum of Sales" fld="4" baseField="0" baseItem="0"/>
  </dataFields>
  <formats count="7">
    <format dxfId="16">
      <pivotArea type="all" dataOnly="0" outline="0" fieldPosition="0"/>
    </format>
    <format dxfId="15">
      <pivotArea outline="0" collapsedLevelsAreSubtotals="1" fieldPosition="0"/>
    </format>
    <format dxfId="14">
      <pivotArea field="3" type="button" dataOnly="0" labelOnly="1" outline="0" axis="axisRow" fieldPosition="0"/>
    </format>
    <format dxfId="13">
      <pivotArea dataOnly="0" labelOnly="1" outline="0" axis="axisValues" fieldPosition="0"/>
    </format>
    <format dxfId="12">
      <pivotArea dataOnly="0" labelOnly="1" fieldPosition="0">
        <references count="1">
          <reference field="3" count="0"/>
        </references>
      </pivotArea>
    </format>
    <format dxfId="11">
      <pivotArea dataOnly="0" labelOnly="1" grandRow="1" outline="0" fieldPosition="0"/>
    </format>
    <format dxfId="10">
      <pivotArea dataOnly="0" labelOnly="1" outline="0" axis="axisValues" fieldPosition="0"/>
    </format>
  </formats>
  <chartFormats count="12">
    <chartFormat chart="14" format="2"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3" count="1" selected="0">
            <x v="0"/>
          </reference>
        </references>
      </pivotArea>
    </chartFormat>
    <chartFormat chart="16" format="11">
      <pivotArea type="data" outline="0" fieldPosition="0">
        <references count="2">
          <reference field="4294967294" count="1" selected="0">
            <x v="0"/>
          </reference>
          <reference field="3" count="1" selected="0">
            <x v="1"/>
          </reference>
        </references>
      </pivotArea>
    </chartFormat>
    <chartFormat chart="16" format="12">
      <pivotArea type="data" outline="0" fieldPosition="0">
        <references count="2">
          <reference field="4294967294" count="1" selected="0">
            <x v="0"/>
          </reference>
          <reference field="3" count="1" selected="0">
            <x v="2"/>
          </reference>
        </references>
      </pivotArea>
    </chartFormat>
    <chartFormat chart="16" format="13">
      <pivotArea type="data" outline="0" fieldPosition="0">
        <references count="2">
          <reference field="4294967294" count="1" selected="0">
            <x v="0"/>
          </reference>
          <reference field="3" count="1" selected="0">
            <x v="3"/>
          </reference>
        </references>
      </pivotArea>
    </chartFormat>
    <chartFormat chart="16" format="14">
      <pivotArea type="data" outline="0" fieldPosition="0">
        <references count="2">
          <reference field="4294967294" count="1" selected="0">
            <x v="0"/>
          </reference>
          <reference field="3" count="1" selected="0">
            <x v="4"/>
          </reference>
        </references>
      </pivotArea>
    </chartFormat>
    <chartFormat chart="14" format="3">
      <pivotArea type="data" outline="0" fieldPosition="0">
        <references count="2">
          <reference field="4294967294" count="1" selected="0">
            <x v="0"/>
          </reference>
          <reference field="3" count="1" selected="0">
            <x v="0"/>
          </reference>
        </references>
      </pivotArea>
    </chartFormat>
    <chartFormat chart="14" format="4">
      <pivotArea type="data" outline="0" fieldPosition="0">
        <references count="2">
          <reference field="4294967294" count="1" selected="0">
            <x v="0"/>
          </reference>
          <reference field="3" count="1" selected="0">
            <x v="1"/>
          </reference>
        </references>
      </pivotArea>
    </chartFormat>
    <chartFormat chart="14" format="5">
      <pivotArea type="data" outline="0" fieldPosition="0">
        <references count="2">
          <reference field="4294967294" count="1" selected="0">
            <x v="0"/>
          </reference>
          <reference field="3" count="1" selected="0">
            <x v="2"/>
          </reference>
        </references>
      </pivotArea>
    </chartFormat>
    <chartFormat chart="14" format="6">
      <pivotArea type="data" outline="0" fieldPosition="0">
        <references count="2">
          <reference field="4294967294" count="1" selected="0">
            <x v="0"/>
          </reference>
          <reference field="3" count="1" selected="0">
            <x v="3"/>
          </reference>
        </references>
      </pivotArea>
    </chartFormat>
    <chartFormat chart="14" format="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9"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7">
  <location ref="F32:G38" firstHeaderRow="1" firstDataRow="1" firstDataCol="1"/>
  <pivotFields count="10">
    <pivotField showAll="0"/>
    <pivotField showAll="0"/>
    <pivotField axis="axisRow"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4" showAll="0"/>
    <pivotField showAll="0"/>
    <pivotField showAll="0"/>
  </pivotFields>
  <rowFields count="1">
    <field x="2"/>
  </rowFields>
  <rowItems count="6">
    <i>
      <x/>
    </i>
    <i>
      <x v="1"/>
    </i>
    <i>
      <x v="2"/>
    </i>
    <i>
      <x v="3"/>
    </i>
    <i>
      <x v="4"/>
    </i>
    <i t="grand">
      <x/>
    </i>
  </rowItems>
  <colItems count="1">
    <i/>
  </colItems>
  <dataFields count="1">
    <dataField name="Sum of Sales" fld="4" baseField="0" baseItem="0"/>
  </dataFields>
  <formats count="7">
    <format dxfId="23">
      <pivotArea type="all" dataOnly="0" outline="0" fieldPosition="0"/>
    </format>
    <format dxfId="22">
      <pivotArea outline="0" collapsedLevelsAreSubtotals="1" fieldPosition="0"/>
    </format>
    <format dxfId="21">
      <pivotArea field="2" type="button" dataOnly="0" labelOnly="1" outline="0" axis="axisRow" fieldPosition="0"/>
    </format>
    <format dxfId="20">
      <pivotArea dataOnly="0" labelOnly="1" outline="0" axis="axisValues" fieldPosition="0"/>
    </format>
    <format dxfId="19">
      <pivotArea dataOnly="0" labelOnly="1" fieldPosition="0">
        <references count="1">
          <reference field="2" count="0"/>
        </references>
      </pivotArea>
    </format>
    <format dxfId="18">
      <pivotArea dataOnly="0" labelOnly="1" grandRow="1" outline="0" fieldPosition="0"/>
    </format>
    <format dxfId="17">
      <pivotArea dataOnly="0" labelOnly="1" outline="0" axis="axisValues" fieldPosition="0"/>
    </format>
  </formats>
  <chartFormats count="1">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data>
    <tabular pivotCacheId="2">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data>
    <tabular pivotCacheId="2">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Product_Category" cache="Slicer_Product_Category" caption="Product_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1"/>
  <sheetViews>
    <sheetView topLeftCell="B1" zoomScale="71" workbookViewId="0">
      <selection activeCell="Q6" sqref="Q6"/>
    </sheetView>
  </sheetViews>
  <sheetFormatPr defaultColWidth="17.26953125" defaultRowHeight="17" customHeight="1" x14ac:dyDescent="0.35"/>
  <cols>
    <col min="1" max="1" width="12.54296875" customWidth="1"/>
    <col min="3" max="3" width="10.36328125" customWidth="1"/>
    <col min="4" max="4" width="17.453125" customWidth="1"/>
    <col min="5" max="5" width="10.90625" customWidth="1"/>
    <col min="6" max="6" width="10.08984375" customWidth="1"/>
    <col min="7" max="7" width="9.36328125" customWidth="1"/>
    <col min="8" max="8" width="13.08984375" customWidth="1"/>
    <col min="9" max="9" width="9.08984375" customWidth="1"/>
    <col min="10" max="10" width="14.26953125" customWidth="1"/>
    <col min="11" max="11" width="12.54296875" customWidth="1"/>
    <col min="12" max="12" width="15" customWidth="1"/>
    <col min="13" max="13" width="16.08984375" customWidth="1"/>
    <col min="15" max="15" width="20.54296875" customWidth="1"/>
  </cols>
  <sheetData>
    <row r="1" spans="1:17" ht="17" customHeight="1" x14ac:dyDescent="0.35">
      <c r="A1" s="1" t="s">
        <v>0</v>
      </c>
      <c r="B1" s="1" t="s">
        <v>1</v>
      </c>
      <c r="C1" s="1" t="s">
        <v>2</v>
      </c>
      <c r="D1" s="1" t="s">
        <v>3</v>
      </c>
      <c r="E1" s="1" t="s">
        <v>4</v>
      </c>
      <c r="F1" s="1" t="s">
        <v>5</v>
      </c>
      <c r="G1" s="1" t="s">
        <v>6</v>
      </c>
      <c r="H1" s="1" t="s">
        <v>7</v>
      </c>
      <c r="I1" s="1" t="s">
        <v>8</v>
      </c>
      <c r="J1" s="2" t="s">
        <v>9</v>
      </c>
      <c r="K1" s="3" t="s">
        <v>10</v>
      </c>
      <c r="L1" s="4" t="s">
        <v>11</v>
      </c>
      <c r="M1" s="4" t="s">
        <v>12</v>
      </c>
      <c r="N1" s="5" t="s">
        <v>13</v>
      </c>
      <c r="O1" s="6" t="s">
        <v>14</v>
      </c>
    </row>
    <row r="2" spans="1:17" ht="17" customHeight="1" x14ac:dyDescent="0.35">
      <c r="A2" s="7" t="s">
        <v>15</v>
      </c>
      <c r="B2" s="7" t="s">
        <v>16</v>
      </c>
      <c r="C2" s="7" t="s">
        <v>17</v>
      </c>
      <c r="D2" s="7" t="s">
        <v>18</v>
      </c>
      <c r="E2" s="7">
        <v>1036.0899999999999</v>
      </c>
      <c r="F2" s="7">
        <v>4</v>
      </c>
      <c r="G2" s="7">
        <v>0.2</v>
      </c>
      <c r="H2" s="8">
        <v>45392</v>
      </c>
      <c r="I2" s="7">
        <v>331.55</v>
      </c>
      <c r="J2" s="9">
        <f>(E2 * F2) * (1 - G2)</f>
        <v>3315.4879999999998</v>
      </c>
      <c r="K2" s="10">
        <v>45292</v>
      </c>
      <c r="L2" s="11">
        <f>SUMIFS($E$2:$E$201, $H$2:$H$201, "&gt;="&amp;DATE(2024, ROW(A1), 1), $H$2:$H$201, "&lt;="&amp;EOMONTH(DATE(2024, ROW(A1), 1), 0))</f>
        <v>0</v>
      </c>
      <c r="M2" s="12">
        <v>0</v>
      </c>
      <c r="N2" s="13">
        <f ca="1">NOW()</f>
        <v>46070.576387152774</v>
      </c>
      <c r="O2" s="14" t="str">
        <f>INDEX($B$2:$B$201, MATCH(MAX($J$2:$J$201), $J$2:$J$201, 0))</f>
        <v>Sarah Davis</v>
      </c>
    </row>
    <row r="3" spans="1:17" ht="17" customHeight="1" x14ac:dyDescent="0.35">
      <c r="A3" s="7" t="s">
        <v>19</v>
      </c>
      <c r="B3" s="7" t="s">
        <v>20</v>
      </c>
      <c r="C3" s="7" t="s">
        <v>17</v>
      </c>
      <c r="D3" s="7" t="s">
        <v>21</v>
      </c>
      <c r="E3" s="7">
        <v>1101.28</v>
      </c>
      <c r="F3" s="7">
        <v>3</v>
      </c>
      <c r="G3" s="7">
        <v>0.2</v>
      </c>
      <c r="H3" s="8">
        <v>45393</v>
      </c>
      <c r="I3" s="7">
        <v>440.51</v>
      </c>
      <c r="J3" s="9">
        <f t="shared" ref="J3:J66" si="0">(E3 * F3) * (1 - G3)</f>
        <v>2643.0720000000001</v>
      </c>
      <c r="K3" s="10">
        <v>45323</v>
      </c>
      <c r="L3" s="11">
        <f t="shared" ref="L3:L17" si="1">SUMIFS($E$2:$E$201, $H$2:$H$201, "&gt;="&amp;DATE(2024, ROW(A2), 1), $H$2:$H$201, "&lt;="&amp;EOMONTH(DATE(2024, ROW(A2), 1), 0))</f>
        <v>0</v>
      </c>
      <c r="M3" s="12">
        <f>IF(L2=0, 0, (L3-L2)/L2)</f>
        <v>0</v>
      </c>
      <c r="N3" s="15"/>
    </row>
    <row r="4" spans="1:17" ht="17" customHeight="1" x14ac:dyDescent="0.35">
      <c r="A4" s="7" t="s">
        <v>22</v>
      </c>
      <c r="B4" s="7" t="s">
        <v>23</v>
      </c>
      <c r="C4" s="7" t="s">
        <v>24</v>
      </c>
      <c r="D4" s="7" t="s">
        <v>18</v>
      </c>
      <c r="E4" s="7">
        <v>713.34</v>
      </c>
      <c r="F4" s="7">
        <v>17</v>
      </c>
      <c r="G4" s="7">
        <v>0</v>
      </c>
      <c r="H4" s="8">
        <v>45396</v>
      </c>
      <c r="I4" s="7">
        <v>285.33999999999997</v>
      </c>
      <c r="J4" s="9">
        <f t="shared" si="0"/>
        <v>12126.78</v>
      </c>
      <c r="K4" s="10">
        <v>45352</v>
      </c>
      <c r="L4" s="11">
        <f t="shared" si="1"/>
        <v>0</v>
      </c>
      <c r="M4" s="12">
        <f t="shared" ref="M4:M17" si="2">IF(L3=0, 0, (L4-L3)/L3)</f>
        <v>0</v>
      </c>
      <c r="N4" s="15"/>
    </row>
    <row r="5" spans="1:17" ht="17" customHeight="1" x14ac:dyDescent="0.35">
      <c r="A5" s="7" t="s">
        <v>25</v>
      </c>
      <c r="B5" s="7" t="s">
        <v>20</v>
      </c>
      <c r="C5" s="7" t="s">
        <v>26</v>
      </c>
      <c r="D5" s="7" t="s">
        <v>27</v>
      </c>
      <c r="E5" s="7">
        <v>760.93</v>
      </c>
      <c r="F5" s="7">
        <v>4</v>
      </c>
      <c r="G5" s="7">
        <v>0.15</v>
      </c>
      <c r="H5" s="8">
        <v>45396</v>
      </c>
      <c r="I5" s="7">
        <v>161.69999999999999</v>
      </c>
      <c r="J5" s="9">
        <f t="shared" si="0"/>
        <v>2587.1619999999998</v>
      </c>
      <c r="K5" s="10">
        <v>45383</v>
      </c>
      <c r="L5" s="11">
        <f t="shared" si="1"/>
        <v>19029.96</v>
      </c>
      <c r="M5" s="12">
        <f t="shared" si="2"/>
        <v>0</v>
      </c>
      <c r="N5" s="15"/>
    </row>
    <row r="6" spans="1:17" ht="17" customHeight="1" x14ac:dyDescent="0.35">
      <c r="A6" s="7" t="s">
        <v>28</v>
      </c>
      <c r="B6" s="7" t="s">
        <v>29</v>
      </c>
      <c r="C6" s="7" t="s">
        <v>30</v>
      </c>
      <c r="D6" s="7" t="s">
        <v>18</v>
      </c>
      <c r="E6" s="7">
        <v>847</v>
      </c>
      <c r="F6" s="7">
        <v>12</v>
      </c>
      <c r="G6" s="7">
        <v>0.2</v>
      </c>
      <c r="H6" s="8">
        <v>45397</v>
      </c>
      <c r="I6" s="7">
        <v>271.04000000000002</v>
      </c>
      <c r="J6" s="9">
        <f t="shared" si="0"/>
        <v>8131.2000000000007</v>
      </c>
      <c r="K6" s="10">
        <v>45413</v>
      </c>
      <c r="L6" s="11">
        <f t="shared" si="1"/>
        <v>18507.339999999997</v>
      </c>
      <c r="M6" s="12">
        <f t="shared" si="2"/>
        <v>-2.7463010957458799E-2</v>
      </c>
      <c r="N6" s="15"/>
    </row>
    <row r="7" spans="1:17" ht="17" customHeight="1" x14ac:dyDescent="0.35">
      <c r="A7" s="7" t="s">
        <v>31</v>
      </c>
      <c r="B7" s="7" t="s">
        <v>32</v>
      </c>
      <c r="C7" s="7" t="s">
        <v>30</v>
      </c>
      <c r="D7" s="7" t="s">
        <v>33</v>
      </c>
      <c r="E7" s="7">
        <v>965.64</v>
      </c>
      <c r="F7" s="7">
        <v>8</v>
      </c>
      <c r="G7" s="7">
        <v>0.1</v>
      </c>
      <c r="H7" s="8">
        <v>45398</v>
      </c>
      <c r="I7" s="7">
        <v>304.18</v>
      </c>
      <c r="J7" s="9">
        <f t="shared" si="0"/>
        <v>6952.6080000000002</v>
      </c>
      <c r="K7" s="10">
        <v>45444</v>
      </c>
      <c r="L7" s="11">
        <f t="shared" si="1"/>
        <v>20187.509999999998</v>
      </c>
      <c r="M7" s="12">
        <f t="shared" si="2"/>
        <v>9.0783980842195702E-2</v>
      </c>
      <c r="N7" s="15"/>
      <c r="O7" s="47" t="s">
        <v>294</v>
      </c>
      <c r="P7" s="48"/>
    </row>
    <row r="8" spans="1:17" ht="17" customHeight="1" x14ac:dyDescent="0.35">
      <c r="A8" s="7" t="s">
        <v>34</v>
      </c>
      <c r="B8" s="7" t="s">
        <v>35</v>
      </c>
      <c r="C8" s="7" t="s">
        <v>17</v>
      </c>
      <c r="D8" s="7" t="s">
        <v>27</v>
      </c>
      <c r="E8" s="7">
        <v>1317.53</v>
      </c>
      <c r="F8" s="7">
        <v>12</v>
      </c>
      <c r="G8" s="7">
        <v>0.05</v>
      </c>
      <c r="H8" s="8">
        <v>45398</v>
      </c>
      <c r="I8" s="7">
        <v>312.91000000000003</v>
      </c>
      <c r="J8" s="9">
        <f t="shared" si="0"/>
        <v>15019.842000000001</v>
      </c>
      <c r="K8" s="10">
        <v>45474</v>
      </c>
      <c r="L8" s="11">
        <f t="shared" si="1"/>
        <v>11609.039999999999</v>
      </c>
      <c r="M8" s="12">
        <f t="shared" si="2"/>
        <v>-0.42493947990614001</v>
      </c>
      <c r="N8" s="15"/>
      <c r="O8" s="37" t="s">
        <v>295</v>
      </c>
      <c r="P8" s="38">
        <f>SUM(I:I)</f>
        <v>68287.010000000009</v>
      </c>
    </row>
    <row r="9" spans="1:17" ht="17" customHeight="1" x14ac:dyDescent="0.35">
      <c r="A9" s="7" t="s">
        <v>36</v>
      </c>
      <c r="B9" s="7" t="s">
        <v>37</v>
      </c>
      <c r="C9" s="7" t="s">
        <v>24</v>
      </c>
      <c r="D9" s="7" t="s">
        <v>33</v>
      </c>
      <c r="E9" s="7">
        <v>1074.47</v>
      </c>
      <c r="F9" s="7">
        <v>6</v>
      </c>
      <c r="G9" s="7">
        <v>0.2</v>
      </c>
      <c r="H9" s="8">
        <v>45401</v>
      </c>
      <c r="I9" s="7">
        <v>300.85000000000002</v>
      </c>
      <c r="J9" s="9">
        <f t="shared" si="0"/>
        <v>5157.4560000000001</v>
      </c>
      <c r="K9" s="10">
        <v>45505</v>
      </c>
      <c r="L9" s="11">
        <f t="shared" si="1"/>
        <v>10091.699999999999</v>
      </c>
      <c r="M9" s="12">
        <f t="shared" si="2"/>
        <v>-0.13070331396911375</v>
      </c>
      <c r="N9" s="15"/>
      <c r="O9" s="37" t="s">
        <v>6</v>
      </c>
      <c r="P9" s="39">
        <v>0.5</v>
      </c>
    </row>
    <row r="10" spans="1:17" ht="17" customHeight="1" x14ac:dyDescent="0.35">
      <c r="A10" s="7" t="s">
        <v>38</v>
      </c>
      <c r="B10" s="7" t="s">
        <v>39</v>
      </c>
      <c r="C10" s="7" t="s">
        <v>40</v>
      </c>
      <c r="D10" s="7" t="s">
        <v>18</v>
      </c>
      <c r="E10" s="7">
        <v>501.54</v>
      </c>
      <c r="F10" s="7">
        <v>11</v>
      </c>
      <c r="G10" s="7">
        <v>0.05</v>
      </c>
      <c r="H10" s="8">
        <v>45401</v>
      </c>
      <c r="I10" s="7">
        <v>190.59</v>
      </c>
      <c r="J10" s="9">
        <f t="shared" si="0"/>
        <v>5241.0929999999998</v>
      </c>
      <c r="K10" s="10">
        <v>45536</v>
      </c>
      <c r="L10" s="11">
        <f t="shared" si="1"/>
        <v>20533.499999999996</v>
      </c>
      <c r="M10" s="12">
        <f t="shared" si="2"/>
        <v>1.0346918755016496</v>
      </c>
      <c r="N10" s="15"/>
      <c r="O10" s="40" t="s">
        <v>296</v>
      </c>
      <c r="P10" s="38">
        <f>P8*(1-P9)</f>
        <v>34143.505000000005</v>
      </c>
    </row>
    <row r="11" spans="1:17" ht="17" customHeight="1" x14ac:dyDescent="0.35">
      <c r="A11" s="7" t="s">
        <v>41</v>
      </c>
      <c r="B11" s="7" t="s">
        <v>42</v>
      </c>
      <c r="C11" s="7" t="s">
        <v>40</v>
      </c>
      <c r="D11" s="7" t="s">
        <v>21</v>
      </c>
      <c r="E11" s="7">
        <v>737.31</v>
      </c>
      <c r="F11" s="7">
        <v>2</v>
      </c>
      <c r="G11" s="7">
        <v>0.05</v>
      </c>
      <c r="H11" s="8">
        <v>45401</v>
      </c>
      <c r="I11" s="7">
        <v>350.22</v>
      </c>
      <c r="J11" s="9">
        <f t="shared" si="0"/>
        <v>1400.8889999999999</v>
      </c>
      <c r="K11" s="10">
        <v>45566</v>
      </c>
      <c r="L11" s="11">
        <f t="shared" si="1"/>
        <v>14215.240000000002</v>
      </c>
      <c r="M11" s="12">
        <f t="shared" si="2"/>
        <v>-0.30770496992719193</v>
      </c>
      <c r="N11" s="15"/>
    </row>
    <row r="12" spans="1:17" ht="17" customHeight="1" x14ac:dyDescent="0.35">
      <c r="A12" s="7" t="s">
        <v>43</v>
      </c>
      <c r="B12" s="7" t="s">
        <v>44</v>
      </c>
      <c r="C12" s="7" t="s">
        <v>17</v>
      </c>
      <c r="D12" s="7" t="s">
        <v>45</v>
      </c>
      <c r="E12" s="7">
        <v>1572.82</v>
      </c>
      <c r="F12" s="7">
        <v>6</v>
      </c>
      <c r="G12" s="7">
        <v>0.05</v>
      </c>
      <c r="H12" s="8">
        <v>45402</v>
      </c>
      <c r="I12" s="7">
        <v>672.38</v>
      </c>
      <c r="J12" s="9">
        <f t="shared" si="0"/>
        <v>8965.0740000000005</v>
      </c>
      <c r="K12" s="10">
        <v>45597</v>
      </c>
      <c r="L12" s="11">
        <f t="shared" si="1"/>
        <v>20135.030000000002</v>
      </c>
      <c r="M12" s="12">
        <f t="shared" si="2"/>
        <v>0.4164396802305132</v>
      </c>
      <c r="N12" s="15"/>
    </row>
    <row r="13" spans="1:17" ht="17" customHeight="1" x14ac:dyDescent="0.35">
      <c r="A13" s="7" t="s">
        <v>46</v>
      </c>
      <c r="B13" s="7" t="s">
        <v>42</v>
      </c>
      <c r="C13" s="7" t="s">
        <v>40</v>
      </c>
      <c r="D13" s="7" t="s">
        <v>18</v>
      </c>
      <c r="E13" s="7">
        <v>1343.13</v>
      </c>
      <c r="F13" s="7">
        <v>14</v>
      </c>
      <c r="G13" s="7">
        <v>0.15</v>
      </c>
      <c r="H13" s="8">
        <v>45404</v>
      </c>
      <c r="I13" s="7">
        <v>456.66</v>
      </c>
      <c r="J13" s="9">
        <f t="shared" si="0"/>
        <v>15983.246999999999</v>
      </c>
      <c r="K13" s="10">
        <v>45627</v>
      </c>
      <c r="L13" s="11">
        <f t="shared" si="1"/>
        <v>11120.04</v>
      </c>
      <c r="M13" s="12">
        <f t="shared" si="2"/>
        <v>-0.44772667336477773</v>
      </c>
      <c r="N13" s="15"/>
    </row>
    <row r="14" spans="1:17" ht="17" customHeight="1" x14ac:dyDescent="0.35">
      <c r="A14" s="7" t="s">
        <v>47</v>
      </c>
      <c r="B14" s="7" t="s">
        <v>32</v>
      </c>
      <c r="C14" s="7" t="s">
        <v>40</v>
      </c>
      <c r="D14" s="7" t="s">
        <v>18</v>
      </c>
      <c r="E14" s="7">
        <v>1191.58</v>
      </c>
      <c r="F14" s="7">
        <v>14</v>
      </c>
      <c r="G14" s="7">
        <v>0.05</v>
      </c>
      <c r="H14" s="8">
        <v>45406</v>
      </c>
      <c r="I14" s="7">
        <v>452.8</v>
      </c>
      <c r="J14" s="9">
        <f t="shared" si="0"/>
        <v>15848.013999999997</v>
      </c>
      <c r="K14" s="10">
        <v>45658</v>
      </c>
      <c r="L14" s="11">
        <f t="shared" si="1"/>
        <v>14914.650000000001</v>
      </c>
      <c r="M14" s="12">
        <f t="shared" si="2"/>
        <v>0.34124067899036337</v>
      </c>
      <c r="N14" s="15"/>
      <c r="O14" s="49" t="s">
        <v>297</v>
      </c>
      <c r="P14" s="49"/>
      <c r="Q14" s="49"/>
    </row>
    <row r="15" spans="1:17" ht="17" customHeight="1" x14ac:dyDescent="0.35">
      <c r="A15" s="7" t="s">
        <v>48</v>
      </c>
      <c r="B15" s="7" t="s">
        <v>20</v>
      </c>
      <c r="C15" s="7" t="s">
        <v>17</v>
      </c>
      <c r="D15" s="7" t="s">
        <v>33</v>
      </c>
      <c r="E15" s="7">
        <v>822.28</v>
      </c>
      <c r="F15" s="7">
        <v>7</v>
      </c>
      <c r="G15" s="7">
        <v>0.05</v>
      </c>
      <c r="H15" s="8">
        <v>45406</v>
      </c>
      <c r="I15" s="7">
        <v>273.41000000000003</v>
      </c>
      <c r="J15" s="9">
        <f t="shared" si="0"/>
        <v>5468.1619999999994</v>
      </c>
      <c r="K15" s="10">
        <v>45689</v>
      </c>
      <c r="L15" s="11">
        <f t="shared" si="1"/>
        <v>14006.359999999999</v>
      </c>
      <c r="M15" s="12">
        <f t="shared" si="2"/>
        <v>-6.0899183018039482E-2</v>
      </c>
      <c r="N15" s="15"/>
      <c r="O15" s="56"/>
      <c r="P15" s="50"/>
      <c r="Q15" s="53" t="s">
        <v>298</v>
      </c>
    </row>
    <row r="16" spans="1:17" ht="17" customHeight="1" x14ac:dyDescent="0.35">
      <c r="A16" s="7" t="s">
        <v>49</v>
      </c>
      <c r="B16" s="7" t="s">
        <v>50</v>
      </c>
      <c r="C16" s="7" t="s">
        <v>30</v>
      </c>
      <c r="D16" s="7" t="s">
        <v>33</v>
      </c>
      <c r="E16" s="7">
        <v>521.66999999999996</v>
      </c>
      <c r="F16" s="7">
        <v>15</v>
      </c>
      <c r="G16" s="7">
        <v>0.15</v>
      </c>
      <c r="H16" s="8">
        <v>45409</v>
      </c>
      <c r="I16" s="7">
        <v>155.19999999999999</v>
      </c>
      <c r="J16" s="9">
        <f t="shared" si="0"/>
        <v>6651.2924999999996</v>
      </c>
      <c r="K16" s="10">
        <v>45717</v>
      </c>
      <c r="L16" s="11">
        <f t="shared" si="1"/>
        <v>17655.219999999998</v>
      </c>
      <c r="M16" s="12">
        <f t="shared" si="2"/>
        <v>0.26051450912299834</v>
      </c>
      <c r="N16" s="15"/>
      <c r="O16" s="57"/>
      <c r="P16" s="51"/>
      <c r="Q16" s="54"/>
    </row>
    <row r="17" spans="1:17" ht="17" customHeight="1" x14ac:dyDescent="0.35">
      <c r="A17" s="7" t="s">
        <v>51</v>
      </c>
      <c r="B17" s="7" t="s">
        <v>52</v>
      </c>
      <c r="C17" s="7" t="s">
        <v>26</v>
      </c>
      <c r="D17" s="7" t="s">
        <v>27</v>
      </c>
      <c r="E17" s="7">
        <v>1502.93</v>
      </c>
      <c r="F17" s="7">
        <v>14</v>
      </c>
      <c r="G17" s="7">
        <v>0.2</v>
      </c>
      <c r="H17" s="8">
        <v>45410</v>
      </c>
      <c r="I17" s="7">
        <v>300.58999999999997</v>
      </c>
      <c r="J17" s="9">
        <f t="shared" si="0"/>
        <v>16832.816000000003</v>
      </c>
      <c r="K17" s="10">
        <v>45748</v>
      </c>
      <c r="L17" s="11">
        <f t="shared" si="1"/>
        <v>3212.17</v>
      </c>
      <c r="M17" s="12">
        <f t="shared" si="2"/>
        <v>-0.81806117397574196</v>
      </c>
      <c r="N17" s="15"/>
      <c r="O17" s="57"/>
      <c r="P17" s="51"/>
      <c r="Q17" s="55"/>
    </row>
    <row r="18" spans="1:17" ht="17" customHeight="1" x14ac:dyDescent="0.35">
      <c r="A18" s="7" t="s">
        <v>53</v>
      </c>
      <c r="B18" s="7" t="s">
        <v>20</v>
      </c>
      <c r="C18" s="7" t="s">
        <v>26</v>
      </c>
      <c r="D18" s="7" t="s">
        <v>18</v>
      </c>
      <c r="E18" s="7">
        <v>877.58</v>
      </c>
      <c r="F18" s="7">
        <v>10</v>
      </c>
      <c r="G18" s="7">
        <v>0.15</v>
      </c>
      <c r="H18" s="8">
        <v>45411</v>
      </c>
      <c r="I18" s="7">
        <v>298.38</v>
      </c>
      <c r="J18" s="9">
        <f t="shared" si="0"/>
        <v>7459.43</v>
      </c>
      <c r="N18" s="15"/>
      <c r="O18" s="58"/>
      <c r="P18" s="52"/>
      <c r="Q18" s="41">
        <f>P10</f>
        <v>34143.505000000005</v>
      </c>
    </row>
    <row r="19" spans="1:17" ht="17" customHeight="1" x14ac:dyDescent="0.35">
      <c r="A19" s="7" t="s">
        <v>54</v>
      </c>
      <c r="B19" s="7" t="s">
        <v>55</v>
      </c>
      <c r="C19" s="7" t="s">
        <v>17</v>
      </c>
      <c r="D19" s="7" t="s">
        <v>18</v>
      </c>
      <c r="E19" s="7">
        <v>636.70000000000005</v>
      </c>
      <c r="F19" s="7">
        <v>4</v>
      </c>
      <c r="G19" s="7">
        <v>0.2</v>
      </c>
      <c r="H19" s="8">
        <v>45411</v>
      </c>
      <c r="I19" s="7">
        <v>203.74</v>
      </c>
      <c r="J19" s="9">
        <f t="shared" si="0"/>
        <v>2037.4400000000003</v>
      </c>
      <c r="N19" s="15"/>
      <c r="O19" s="44" t="s">
        <v>6</v>
      </c>
      <c r="P19" s="42">
        <v>0.1</v>
      </c>
      <c r="Q19" s="43">
        <f t="dataTable" ref="Q19:Q23" dt2D="0" dtr="0" r1="P9"/>
        <v>61458.309000000008</v>
      </c>
    </row>
    <row r="20" spans="1:17" ht="17" customHeight="1" x14ac:dyDescent="0.35">
      <c r="A20" s="7" t="s">
        <v>56</v>
      </c>
      <c r="B20" s="7" t="s">
        <v>57</v>
      </c>
      <c r="C20" s="7" t="s">
        <v>17</v>
      </c>
      <c r="D20" s="7" t="s">
        <v>18</v>
      </c>
      <c r="E20" s="7">
        <v>1506.14</v>
      </c>
      <c r="F20" s="7">
        <v>13</v>
      </c>
      <c r="G20" s="7">
        <v>0.2</v>
      </c>
      <c r="H20" s="8">
        <v>45412</v>
      </c>
      <c r="I20" s="7">
        <v>481.96</v>
      </c>
      <c r="J20" s="9">
        <f t="shared" si="0"/>
        <v>15663.856</v>
      </c>
      <c r="N20" s="15"/>
      <c r="O20" s="45"/>
      <c r="P20" s="42">
        <v>0.2</v>
      </c>
      <c r="Q20" s="43">
        <v>54629.608000000007</v>
      </c>
    </row>
    <row r="21" spans="1:17" ht="17" customHeight="1" x14ac:dyDescent="0.35">
      <c r="A21" s="7" t="s">
        <v>58</v>
      </c>
      <c r="B21" s="7" t="s">
        <v>37</v>
      </c>
      <c r="C21" s="7" t="s">
        <v>40</v>
      </c>
      <c r="D21" s="7" t="s">
        <v>27</v>
      </c>
      <c r="E21" s="7">
        <v>645.02</v>
      </c>
      <c r="F21" s="7">
        <v>4</v>
      </c>
      <c r="G21" s="7">
        <v>0</v>
      </c>
      <c r="H21" s="8">
        <v>45414</v>
      </c>
      <c r="I21" s="7">
        <v>161.26</v>
      </c>
      <c r="J21" s="9">
        <f t="shared" si="0"/>
        <v>2580.08</v>
      </c>
      <c r="N21" s="15"/>
      <c r="O21" s="45"/>
      <c r="P21" s="42">
        <v>0.3</v>
      </c>
      <c r="Q21" s="43">
        <v>47800.907000000007</v>
      </c>
    </row>
    <row r="22" spans="1:17" ht="17" customHeight="1" x14ac:dyDescent="0.35">
      <c r="A22" s="7" t="s">
        <v>59</v>
      </c>
      <c r="B22" s="7" t="s">
        <v>60</v>
      </c>
      <c r="C22" s="7" t="s">
        <v>26</v>
      </c>
      <c r="D22" s="7" t="s">
        <v>21</v>
      </c>
      <c r="E22" s="7">
        <v>953.3</v>
      </c>
      <c r="F22" s="7">
        <v>11</v>
      </c>
      <c r="G22" s="7">
        <v>0</v>
      </c>
      <c r="H22" s="8">
        <v>45415</v>
      </c>
      <c r="I22" s="7">
        <v>476.65</v>
      </c>
      <c r="J22" s="9">
        <f t="shared" si="0"/>
        <v>10486.3</v>
      </c>
      <c r="N22" s="15"/>
      <c r="O22" s="45"/>
      <c r="P22" s="42">
        <v>0.4</v>
      </c>
      <c r="Q22" s="43">
        <v>40972.206000000006</v>
      </c>
    </row>
    <row r="23" spans="1:17" ht="17" customHeight="1" x14ac:dyDescent="0.35">
      <c r="A23" s="7" t="s">
        <v>61</v>
      </c>
      <c r="B23" s="7" t="s">
        <v>20</v>
      </c>
      <c r="C23" s="7" t="s">
        <v>30</v>
      </c>
      <c r="D23" s="7" t="s">
        <v>27</v>
      </c>
      <c r="E23" s="7">
        <v>388.56</v>
      </c>
      <c r="F23" s="7">
        <v>14</v>
      </c>
      <c r="G23" s="7">
        <v>0.15</v>
      </c>
      <c r="H23" s="8">
        <v>45416</v>
      </c>
      <c r="I23" s="7">
        <v>82.57</v>
      </c>
      <c r="J23" s="9">
        <f t="shared" si="0"/>
        <v>4623.8639999999996</v>
      </c>
      <c r="N23" s="15"/>
      <c r="O23" s="46"/>
      <c r="P23" s="42">
        <v>0.5</v>
      </c>
      <c r="Q23" s="43">
        <v>34143.505000000005</v>
      </c>
    </row>
    <row r="24" spans="1:17" ht="17" customHeight="1" x14ac:dyDescent="0.35">
      <c r="A24" s="7" t="s">
        <v>62</v>
      </c>
      <c r="B24" s="7" t="s">
        <v>37</v>
      </c>
      <c r="C24" s="7" t="s">
        <v>17</v>
      </c>
      <c r="D24" s="7" t="s">
        <v>18</v>
      </c>
      <c r="E24" s="7">
        <v>743.17</v>
      </c>
      <c r="F24" s="7">
        <v>9</v>
      </c>
      <c r="G24" s="7">
        <v>0</v>
      </c>
      <c r="H24" s="8">
        <v>45416</v>
      </c>
      <c r="I24" s="7">
        <v>297.27</v>
      </c>
      <c r="J24" s="9">
        <f t="shared" si="0"/>
        <v>6688.53</v>
      </c>
      <c r="N24" s="15"/>
    </row>
    <row r="25" spans="1:17" ht="17" customHeight="1" x14ac:dyDescent="0.35">
      <c r="A25" s="7" t="s">
        <v>63</v>
      </c>
      <c r="B25" s="7" t="s">
        <v>37</v>
      </c>
      <c r="C25" s="7" t="s">
        <v>40</v>
      </c>
      <c r="D25" s="7" t="s">
        <v>27</v>
      </c>
      <c r="E25" s="7">
        <v>706.37</v>
      </c>
      <c r="F25" s="7">
        <v>6</v>
      </c>
      <c r="G25" s="7">
        <v>0</v>
      </c>
      <c r="H25" s="8">
        <v>45416</v>
      </c>
      <c r="I25" s="7">
        <v>176.59</v>
      </c>
      <c r="J25" s="9">
        <f t="shared" si="0"/>
        <v>4238.22</v>
      </c>
      <c r="N25" s="15"/>
    </row>
    <row r="26" spans="1:17" ht="17" customHeight="1" x14ac:dyDescent="0.35">
      <c r="A26" s="7" t="s">
        <v>64</v>
      </c>
      <c r="B26" s="7" t="s">
        <v>37</v>
      </c>
      <c r="C26" s="7" t="s">
        <v>40</v>
      </c>
      <c r="D26" s="7" t="s">
        <v>45</v>
      </c>
      <c r="E26" s="7">
        <v>925.31</v>
      </c>
      <c r="F26" s="7">
        <v>8</v>
      </c>
      <c r="G26" s="7">
        <v>0.1</v>
      </c>
      <c r="H26" s="8">
        <v>45418</v>
      </c>
      <c r="I26" s="7">
        <v>374.75</v>
      </c>
      <c r="J26" s="9">
        <f t="shared" si="0"/>
        <v>6662.232</v>
      </c>
      <c r="N26" s="15"/>
    </row>
    <row r="27" spans="1:17" ht="17" customHeight="1" x14ac:dyDescent="0.35">
      <c r="A27" s="7" t="s">
        <v>65</v>
      </c>
      <c r="B27" s="7" t="s">
        <v>66</v>
      </c>
      <c r="C27" s="7" t="s">
        <v>26</v>
      </c>
      <c r="D27" s="7" t="s">
        <v>27</v>
      </c>
      <c r="E27" s="7">
        <v>1173.1199999999999</v>
      </c>
      <c r="F27" s="7">
        <v>18</v>
      </c>
      <c r="G27" s="7">
        <v>0</v>
      </c>
      <c r="H27" s="8">
        <v>45418</v>
      </c>
      <c r="I27" s="7">
        <v>293.27999999999997</v>
      </c>
      <c r="J27" s="9">
        <f t="shared" si="0"/>
        <v>21116.159999999996</v>
      </c>
      <c r="N27" s="15"/>
    </row>
    <row r="28" spans="1:17" ht="17" customHeight="1" x14ac:dyDescent="0.35">
      <c r="A28" s="7" t="s">
        <v>67</v>
      </c>
      <c r="B28" s="7" t="s">
        <v>68</v>
      </c>
      <c r="C28" s="7" t="s">
        <v>30</v>
      </c>
      <c r="D28" s="7" t="s">
        <v>33</v>
      </c>
      <c r="E28" s="7">
        <v>675.54</v>
      </c>
      <c r="F28" s="7">
        <v>17</v>
      </c>
      <c r="G28" s="7">
        <v>0</v>
      </c>
      <c r="H28" s="8">
        <v>45420</v>
      </c>
      <c r="I28" s="7">
        <v>236.44</v>
      </c>
      <c r="J28" s="9">
        <f t="shared" si="0"/>
        <v>11484.18</v>
      </c>
      <c r="N28" s="15"/>
    </row>
    <row r="29" spans="1:17" ht="17" customHeight="1" x14ac:dyDescent="0.35">
      <c r="A29" s="7" t="s">
        <v>69</v>
      </c>
      <c r="B29" s="7" t="s">
        <v>20</v>
      </c>
      <c r="C29" s="7" t="s">
        <v>40</v>
      </c>
      <c r="D29" s="7" t="s">
        <v>18</v>
      </c>
      <c r="E29" s="7">
        <v>939.09</v>
      </c>
      <c r="F29" s="7">
        <v>2</v>
      </c>
      <c r="G29" s="7">
        <v>0.05</v>
      </c>
      <c r="H29" s="8">
        <v>45422</v>
      </c>
      <c r="I29" s="7">
        <v>356.85</v>
      </c>
      <c r="J29" s="9">
        <f t="shared" si="0"/>
        <v>1784.271</v>
      </c>
      <c r="N29" s="15"/>
    </row>
    <row r="30" spans="1:17" ht="17" customHeight="1" x14ac:dyDescent="0.35">
      <c r="A30" s="7" t="s">
        <v>70</v>
      </c>
      <c r="B30" s="7" t="s">
        <v>71</v>
      </c>
      <c r="C30" s="7" t="s">
        <v>24</v>
      </c>
      <c r="D30" s="7" t="s">
        <v>45</v>
      </c>
      <c r="E30" s="7">
        <v>983.34</v>
      </c>
      <c r="F30" s="7">
        <v>19</v>
      </c>
      <c r="G30" s="7">
        <v>0.1</v>
      </c>
      <c r="H30" s="8">
        <v>45426</v>
      </c>
      <c r="I30" s="7">
        <v>398.25</v>
      </c>
      <c r="J30" s="9">
        <f t="shared" si="0"/>
        <v>16815.114000000001</v>
      </c>
      <c r="N30" s="15"/>
    </row>
    <row r="31" spans="1:17" ht="17" customHeight="1" x14ac:dyDescent="0.35">
      <c r="A31" s="7" t="s">
        <v>72</v>
      </c>
      <c r="B31" s="7" t="s">
        <v>29</v>
      </c>
      <c r="C31" s="7" t="s">
        <v>26</v>
      </c>
      <c r="D31" s="7" t="s">
        <v>27</v>
      </c>
      <c r="E31" s="7">
        <v>801.21</v>
      </c>
      <c r="F31" s="7">
        <v>3</v>
      </c>
      <c r="G31" s="7">
        <v>0.2</v>
      </c>
      <c r="H31" s="8">
        <v>45426</v>
      </c>
      <c r="I31" s="7">
        <v>160.24</v>
      </c>
      <c r="J31" s="9">
        <f t="shared" si="0"/>
        <v>1922.9040000000002</v>
      </c>
      <c r="N31" s="15"/>
    </row>
    <row r="32" spans="1:17" ht="17" customHeight="1" x14ac:dyDescent="0.35">
      <c r="A32" s="7" t="s">
        <v>73</v>
      </c>
      <c r="B32" s="7" t="s">
        <v>74</v>
      </c>
      <c r="C32" s="7" t="s">
        <v>30</v>
      </c>
      <c r="D32" s="7" t="s">
        <v>27</v>
      </c>
      <c r="E32" s="7">
        <v>1450.71</v>
      </c>
      <c r="F32" s="7">
        <v>5</v>
      </c>
      <c r="G32" s="7">
        <v>0.1</v>
      </c>
      <c r="H32" s="8">
        <v>45427</v>
      </c>
      <c r="I32" s="7">
        <v>326.41000000000003</v>
      </c>
      <c r="J32" s="9">
        <f t="shared" si="0"/>
        <v>6528.1950000000006</v>
      </c>
      <c r="N32" s="15"/>
    </row>
    <row r="33" spans="1:14" ht="17" customHeight="1" x14ac:dyDescent="0.35">
      <c r="A33" s="7" t="s">
        <v>75</v>
      </c>
      <c r="B33" s="7" t="s">
        <v>76</v>
      </c>
      <c r="C33" s="7" t="s">
        <v>40</v>
      </c>
      <c r="D33" s="7" t="s">
        <v>18</v>
      </c>
      <c r="E33" s="7">
        <v>1023.21</v>
      </c>
      <c r="F33" s="7">
        <v>18</v>
      </c>
      <c r="G33" s="7">
        <v>0.05</v>
      </c>
      <c r="H33" s="8">
        <v>45428</v>
      </c>
      <c r="I33" s="7">
        <v>388.82</v>
      </c>
      <c r="J33" s="9">
        <f t="shared" si="0"/>
        <v>17496.891</v>
      </c>
      <c r="N33" s="15"/>
    </row>
    <row r="34" spans="1:14" ht="17" customHeight="1" x14ac:dyDescent="0.35">
      <c r="A34" s="7" t="s">
        <v>77</v>
      </c>
      <c r="B34" s="7" t="s">
        <v>57</v>
      </c>
      <c r="C34" s="7" t="s">
        <v>17</v>
      </c>
      <c r="D34" s="7" t="s">
        <v>33</v>
      </c>
      <c r="E34" s="7">
        <v>853.72</v>
      </c>
      <c r="F34" s="7">
        <v>5</v>
      </c>
      <c r="G34" s="7">
        <v>0.15</v>
      </c>
      <c r="H34" s="8">
        <v>45428</v>
      </c>
      <c r="I34" s="7">
        <v>253.98</v>
      </c>
      <c r="J34" s="9">
        <f t="shared" si="0"/>
        <v>3628.3100000000004</v>
      </c>
      <c r="N34" s="15"/>
    </row>
    <row r="35" spans="1:14" ht="17" customHeight="1" x14ac:dyDescent="0.35">
      <c r="A35" s="7" t="s">
        <v>78</v>
      </c>
      <c r="B35" s="7" t="s">
        <v>52</v>
      </c>
      <c r="C35" s="7" t="s">
        <v>26</v>
      </c>
      <c r="D35" s="7" t="s">
        <v>27</v>
      </c>
      <c r="E35" s="7">
        <v>967.89</v>
      </c>
      <c r="F35" s="7">
        <v>10</v>
      </c>
      <c r="G35" s="7">
        <v>0.1</v>
      </c>
      <c r="H35" s="8">
        <v>45429</v>
      </c>
      <c r="I35" s="7">
        <v>217.78</v>
      </c>
      <c r="J35" s="9">
        <f t="shared" si="0"/>
        <v>8711.01</v>
      </c>
      <c r="N35" s="15"/>
    </row>
    <row r="36" spans="1:14" ht="17" customHeight="1" x14ac:dyDescent="0.35">
      <c r="A36" s="7" t="s">
        <v>79</v>
      </c>
      <c r="B36" s="7" t="s">
        <v>71</v>
      </c>
      <c r="C36" s="7" t="s">
        <v>30</v>
      </c>
      <c r="D36" s="7" t="s">
        <v>45</v>
      </c>
      <c r="E36" s="7">
        <v>1200.9000000000001</v>
      </c>
      <c r="F36" s="7">
        <v>14</v>
      </c>
      <c r="G36" s="7">
        <v>0.05</v>
      </c>
      <c r="H36" s="8">
        <v>45429</v>
      </c>
      <c r="I36" s="7">
        <v>513.38</v>
      </c>
      <c r="J36" s="9">
        <f t="shared" si="0"/>
        <v>15971.970000000001</v>
      </c>
      <c r="N36" s="15"/>
    </row>
    <row r="37" spans="1:14" ht="17" customHeight="1" x14ac:dyDescent="0.35">
      <c r="A37" s="7" t="s">
        <v>80</v>
      </c>
      <c r="B37" s="7" t="s">
        <v>32</v>
      </c>
      <c r="C37" s="7" t="s">
        <v>17</v>
      </c>
      <c r="D37" s="7" t="s">
        <v>18</v>
      </c>
      <c r="E37" s="7">
        <v>472.38</v>
      </c>
      <c r="F37" s="7">
        <v>12</v>
      </c>
      <c r="G37" s="7">
        <v>0.2</v>
      </c>
      <c r="H37" s="8">
        <v>45429</v>
      </c>
      <c r="I37" s="7">
        <v>151.16</v>
      </c>
      <c r="J37" s="9">
        <f t="shared" si="0"/>
        <v>4534.848</v>
      </c>
      <c r="N37" s="15"/>
    </row>
    <row r="38" spans="1:14" ht="17" customHeight="1" x14ac:dyDescent="0.35">
      <c r="A38" s="7" t="s">
        <v>81</v>
      </c>
      <c r="B38" s="7" t="s">
        <v>74</v>
      </c>
      <c r="C38" s="7" t="s">
        <v>24</v>
      </c>
      <c r="D38" s="7" t="s">
        <v>45</v>
      </c>
      <c r="E38" s="7">
        <v>840.92</v>
      </c>
      <c r="F38" s="7">
        <v>9</v>
      </c>
      <c r="G38" s="7">
        <v>0.05</v>
      </c>
      <c r="H38" s="8">
        <v>45429</v>
      </c>
      <c r="I38" s="7">
        <v>359.49</v>
      </c>
      <c r="J38" s="9">
        <f t="shared" si="0"/>
        <v>7189.8659999999991</v>
      </c>
      <c r="N38" s="15"/>
    </row>
    <row r="39" spans="1:14" ht="17" customHeight="1" x14ac:dyDescent="0.35">
      <c r="A39" s="7" t="s">
        <v>82</v>
      </c>
      <c r="B39" s="7" t="s">
        <v>60</v>
      </c>
      <c r="C39" s="7" t="s">
        <v>40</v>
      </c>
      <c r="D39" s="7" t="s">
        <v>33</v>
      </c>
      <c r="E39" s="7">
        <v>1410.06</v>
      </c>
      <c r="F39" s="7">
        <v>11</v>
      </c>
      <c r="G39" s="7">
        <v>0.05</v>
      </c>
      <c r="H39" s="8">
        <v>45434</v>
      </c>
      <c r="I39" s="7">
        <v>468.84</v>
      </c>
      <c r="J39" s="9">
        <f t="shared" si="0"/>
        <v>14735.126999999999</v>
      </c>
      <c r="N39" s="15"/>
    </row>
    <row r="40" spans="1:14" ht="17" customHeight="1" x14ac:dyDescent="0.35">
      <c r="A40" s="7" t="s">
        <v>83</v>
      </c>
      <c r="B40" s="7" t="s">
        <v>84</v>
      </c>
      <c r="C40" s="7" t="s">
        <v>40</v>
      </c>
      <c r="D40" s="7" t="s">
        <v>33</v>
      </c>
      <c r="E40" s="7">
        <v>773.09</v>
      </c>
      <c r="F40" s="7">
        <v>13</v>
      </c>
      <c r="G40" s="7">
        <v>0.15</v>
      </c>
      <c r="H40" s="8">
        <v>45434</v>
      </c>
      <c r="I40" s="7">
        <v>229.99</v>
      </c>
      <c r="J40" s="9">
        <f t="shared" si="0"/>
        <v>8542.6445000000003</v>
      </c>
      <c r="N40" s="15"/>
    </row>
    <row r="41" spans="1:14" ht="17" customHeight="1" x14ac:dyDescent="0.35">
      <c r="A41" s="7" t="s">
        <v>85</v>
      </c>
      <c r="B41" s="7" t="s">
        <v>86</v>
      </c>
      <c r="C41" s="7" t="s">
        <v>24</v>
      </c>
      <c r="D41" s="7" t="s">
        <v>18</v>
      </c>
      <c r="E41" s="7">
        <v>580.42999999999995</v>
      </c>
      <c r="F41" s="7">
        <v>19</v>
      </c>
      <c r="G41" s="7">
        <v>0.15</v>
      </c>
      <c r="H41" s="8">
        <v>45435</v>
      </c>
      <c r="I41" s="7">
        <v>197.35</v>
      </c>
      <c r="J41" s="9">
        <f t="shared" si="0"/>
        <v>9373.9444999999978</v>
      </c>
      <c r="N41" s="15"/>
    </row>
    <row r="42" spans="1:14" ht="17" customHeight="1" x14ac:dyDescent="0.35">
      <c r="A42" s="7" t="s">
        <v>87</v>
      </c>
      <c r="B42" s="7" t="s">
        <v>50</v>
      </c>
      <c r="C42" s="7" t="s">
        <v>26</v>
      </c>
      <c r="D42" s="7" t="s">
        <v>18</v>
      </c>
      <c r="E42" s="7">
        <v>1151.21</v>
      </c>
      <c r="F42" s="7">
        <v>15</v>
      </c>
      <c r="G42" s="7">
        <v>0.1</v>
      </c>
      <c r="H42" s="8">
        <v>45445</v>
      </c>
      <c r="I42" s="7">
        <v>414.44</v>
      </c>
      <c r="J42" s="9">
        <f t="shared" si="0"/>
        <v>15541.335000000001</v>
      </c>
      <c r="N42" s="15"/>
    </row>
    <row r="43" spans="1:14" ht="17" customHeight="1" x14ac:dyDescent="0.35">
      <c r="A43" s="7" t="s">
        <v>88</v>
      </c>
      <c r="B43" s="7" t="s">
        <v>29</v>
      </c>
      <c r="C43" s="7" t="s">
        <v>40</v>
      </c>
      <c r="D43" s="7" t="s">
        <v>45</v>
      </c>
      <c r="E43" s="7">
        <v>1025.98</v>
      </c>
      <c r="F43" s="7">
        <v>5</v>
      </c>
      <c r="G43" s="7">
        <v>0.2</v>
      </c>
      <c r="H43" s="8">
        <v>45447</v>
      </c>
      <c r="I43" s="7">
        <v>369.35</v>
      </c>
      <c r="J43" s="9">
        <f t="shared" si="0"/>
        <v>4103.92</v>
      </c>
      <c r="N43" s="15"/>
    </row>
    <row r="44" spans="1:14" ht="17" customHeight="1" x14ac:dyDescent="0.35">
      <c r="A44" s="7" t="s">
        <v>89</v>
      </c>
      <c r="B44" s="7" t="s">
        <v>76</v>
      </c>
      <c r="C44" s="7" t="s">
        <v>24</v>
      </c>
      <c r="D44" s="7" t="s">
        <v>45</v>
      </c>
      <c r="E44" s="7">
        <v>556.41999999999996</v>
      </c>
      <c r="F44" s="7">
        <v>11</v>
      </c>
      <c r="G44" s="7">
        <v>0.15</v>
      </c>
      <c r="H44" s="8">
        <v>45447</v>
      </c>
      <c r="I44" s="7">
        <v>212.83</v>
      </c>
      <c r="J44" s="9">
        <f t="shared" si="0"/>
        <v>5202.527</v>
      </c>
      <c r="N44" s="15"/>
    </row>
    <row r="45" spans="1:14" ht="17" customHeight="1" x14ac:dyDescent="0.35">
      <c r="A45" s="7" t="s">
        <v>90</v>
      </c>
      <c r="B45" s="7" t="s">
        <v>29</v>
      </c>
      <c r="C45" s="7" t="s">
        <v>40</v>
      </c>
      <c r="D45" s="7" t="s">
        <v>18</v>
      </c>
      <c r="E45" s="7">
        <v>840.85</v>
      </c>
      <c r="F45" s="7">
        <v>19</v>
      </c>
      <c r="G45" s="7">
        <v>0.1</v>
      </c>
      <c r="H45" s="8">
        <v>45448</v>
      </c>
      <c r="I45" s="7">
        <v>302.70999999999998</v>
      </c>
      <c r="J45" s="9">
        <f t="shared" si="0"/>
        <v>14378.535</v>
      </c>
      <c r="N45" s="15"/>
    </row>
    <row r="46" spans="1:14" ht="17" customHeight="1" x14ac:dyDescent="0.35">
      <c r="A46" s="7" t="s">
        <v>91</v>
      </c>
      <c r="B46" s="7" t="s">
        <v>86</v>
      </c>
      <c r="C46" s="7" t="s">
        <v>30</v>
      </c>
      <c r="D46" s="7" t="s">
        <v>33</v>
      </c>
      <c r="E46" s="7">
        <v>1227.25</v>
      </c>
      <c r="F46" s="7">
        <v>12</v>
      </c>
      <c r="G46" s="7">
        <v>0.15</v>
      </c>
      <c r="H46" s="8">
        <v>45448</v>
      </c>
      <c r="I46" s="7">
        <v>365.11</v>
      </c>
      <c r="J46" s="9">
        <f t="shared" si="0"/>
        <v>12517.949999999999</v>
      </c>
      <c r="N46" s="15"/>
    </row>
    <row r="47" spans="1:14" ht="17" customHeight="1" x14ac:dyDescent="0.35">
      <c r="A47" s="7" t="s">
        <v>92</v>
      </c>
      <c r="B47" s="7" t="s">
        <v>93</v>
      </c>
      <c r="C47" s="7" t="s">
        <v>40</v>
      </c>
      <c r="D47" s="7" t="s">
        <v>27</v>
      </c>
      <c r="E47" s="7">
        <v>856.7</v>
      </c>
      <c r="F47" s="7">
        <v>2</v>
      </c>
      <c r="G47" s="7">
        <v>0</v>
      </c>
      <c r="H47" s="8">
        <v>45449</v>
      </c>
      <c r="I47" s="7">
        <v>214.18</v>
      </c>
      <c r="J47" s="9">
        <f t="shared" si="0"/>
        <v>1713.4</v>
      </c>
      <c r="N47" s="15"/>
    </row>
    <row r="48" spans="1:14" ht="17" customHeight="1" x14ac:dyDescent="0.35">
      <c r="A48" s="7" t="s">
        <v>94</v>
      </c>
      <c r="B48" s="7" t="s">
        <v>76</v>
      </c>
      <c r="C48" s="7" t="s">
        <v>40</v>
      </c>
      <c r="D48" s="7" t="s">
        <v>45</v>
      </c>
      <c r="E48" s="7">
        <v>1225.42</v>
      </c>
      <c r="F48" s="7">
        <v>8</v>
      </c>
      <c r="G48" s="7">
        <v>0.15</v>
      </c>
      <c r="H48" s="8">
        <v>45449</v>
      </c>
      <c r="I48" s="7">
        <v>468.72</v>
      </c>
      <c r="J48" s="9">
        <f t="shared" si="0"/>
        <v>8332.8559999999998</v>
      </c>
      <c r="N48" s="15"/>
    </row>
    <row r="49" spans="1:14" ht="17" customHeight="1" x14ac:dyDescent="0.35">
      <c r="A49" s="7" t="s">
        <v>95</v>
      </c>
      <c r="B49" s="7" t="s">
        <v>37</v>
      </c>
      <c r="C49" s="7" t="s">
        <v>30</v>
      </c>
      <c r="D49" s="7" t="s">
        <v>45</v>
      </c>
      <c r="E49" s="7">
        <v>1001.57</v>
      </c>
      <c r="F49" s="7">
        <v>12</v>
      </c>
      <c r="G49" s="7">
        <v>0</v>
      </c>
      <c r="H49" s="8">
        <v>45450</v>
      </c>
      <c r="I49" s="7">
        <v>450.71</v>
      </c>
      <c r="J49" s="9">
        <f t="shared" si="0"/>
        <v>12018.84</v>
      </c>
      <c r="N49" s="15"/>
    </row>
    <row r="50" spans="1:14" ht="17" customHeight="1" x14ac:dyDescent="0.35">
      <c r="A50" s="7" t="s">
        <v>96</v>
      </c>
      <c r="B50" s="7" t="s">
        <v>32</v>
      </c>
      <c r="C50" s="7" t="s">
        <v>24</v>
      </c>
      <c r="D50" s="7" t="s">
        <v>33</v>
      </c>
      <c r="E50" s="7">
        <v>1186.8499999999999</v>
      </c>
      <c r="F50" s="7">
        <v>19</v>
      </c>
      <c r="G50" s="7">
        <v>0.2</v>
      </c>
      <c r="H50" s="8">
        <v>45451</v>
      </c>
      <c r="I50" s="7">
        <v>332.32</v>
      </c>
      <c r="J50" s="9">
        <f t="shared" si="0"/>
        <v>18040.12</v>
      </c>
      <c r="N50" s="15"/>
    </row>
    <row r="51" spans="1:14" ht="17" customHeight="1" x14ac:dyDescent="0.35">
      <c r="A51" s="7" t="s">
        <v>97</v>
      </c>
      <c r="B51" s="7" t="s">
        <v>68</v>
      </c>
      <c r="C51" s="7" t="s">
        <v>26</v>
      </c>
      <c r="D51" s="7" t="s">
        <v>27</v>
      </c>
      <c r="E51" s="7">
        <v>775.45</v>
      </c>
      <c r="F51" s="7">
        <v>6</v>
      </c>
      <c r="G51" s="7">
        <v>0.1</v>
      </c>
      <c r="H51" s="8">
        <v>45457</v>
      </c>
      <c r="I51" s="7">
        <v>174.48</v>
      </c>
      <c r="J51" s="9">
        <f t="shared" si="0"/>
        <v>4187.4300000000012</v>
      </c>
      <c r="N51" s="15"/>
    </row>
    <row r="52" spans="1:14" ht="17" customHeight="1" x14ac:dyDescent="0.35">
      <c r="A52" s="7" t="s">
        <v>98</v>
      </c>
      <c r="B52" s="7" t="s">
        <v>39</v>
      </c>
      <c r="C52" s="7" t="s">
        <v>26</v>
      </c>
      <c r="D52" s="7" t="s">
        <v>27</v>
      </c>
      <c r="E52" s="7">
        <v>1021.47</v>
      </c>
      <c r="F52" s="7">
        <v>6</v>
      </c>
      <c r="G52" s="7">
        <v>0.05</v>
      </c>
      <c r="H52" s="8">
        <v>45461</v>
      </c>
      <c r="I52" s="7">
        <v>242.6</v>
      </c>
      <c r="J52" s="9">
        <f t="shared" si="0"/>
        <v>5822.3789999999999</v>
      </c>
      <c r="N52" s="15"/>
    </row>
    <row r="53" spans="1:14" ht="17" customHeight="1" x14ac:dyDescent="0.35">
      <c r="A53" s="7" t="s">
        <v>99</v>
      </c>
      <c r="B53" s="7" t="s">
        <v>29</v>
      </c>
      <c r="C53" s="7" t="s">
        <v>26</v>
      </c>
      <c r="D53" s="7" t="s">
        <v>21</v>
      </c>
      <c r="E53" s="7">
        <v>1226.6199999999999</v>
      </c>
      <c r="F53" s="7">
        <v>7</v>
      </c>
      <c r="G53" s="7">
        <v>0.1</v>
      </c>
      <c r="H53" s="8">
        <v>45463</v>
      </c>
      <c r="I53" s="7">
        <v>551.98</v>
      </c>
      <c r="J53" s="9">
        <f t="shared" si="0"/>
        <v>7727.7060000000001</v>
      </c>
      <c r="N53" s="15"/>
    </row>
    <row r="54" spans="1:14" ht="17" customHeight="1" x14ac:dyDescent="0.35">
      <c r="A54" s="7" t="s">
        <v>100</v>
      </c>
      <c r="B54" s="7" t="s">
        <v>101</v>
      </c>
      <c r="C54" s="7" t="s">
        <v>26</v>
      </c>
      <c r="D54" s="7" t="s">
        <v>33</v>
      </c>
      <c r="E54" s="7">
        <v>1086.93</v>
      </c>
      <c r="F54" s="7">
        <v>2</v>
      </c>
      <c r="G54" s="7">
        <v>0</v>
      </c>
      <c r="H54" s="8">
        <v>45464</v>
      </c>
      <c r="I54" s="7">
        <v>380.43</v>
      </c>
      <c r="J54" s="9">
        <f t="shared" si="0"/>
        <v>2173.86</v>
      </c>
      <c r="N54" s="15"/>
    </row>
    <row r="55" spans="1:14" ht="17" customHeight="1" x14ac:dyDescent="0.35">
      <c r="A55" s="7" t="s">
        <v>102</v>
      </c>
      <c r="B55" s="7" t="s">
        <v>60</v>
      </c>
      <c r="C55" s="7" t="s">
        <v>17</v>
      </c>
      <c r="D55" s="7" t="s">
        <v>18</v>
      </c>
      <c r="E55" s="7">
        <v>942.9</v>
      </c>
      <c r="F55" s="7">
        <v>18</v>
      </c>
      <c r="G55" s="7">
        <v>0.1</v>
      </c>
      <c r="H55" s="8">
        <v>45466</v>
      </c>
      <c r="I55" s="7">
        <v>339.44</v>
      </c>
      <c r="J55" s="9">
        <f t="shared" si="0"/>
        <v>15274.980000000001</v>
      </c>
      <c r="N55" s="15"/>
    </row>
    <row r="56" spans="1:14" ht="17" customHeight="1" x14ac:dyDescent="0.35">
      <c r="A56" s="7" t="s">
        <v>103</v>
      </c>
      <c r="B56" s="7" t="s">
        <v>44</v>
      </c>
      <c r="C56" s="7" t="s">
        <v>30</v>
      </c>
      <c r="D56" s="7" t="s">
        <v>27</v>
      </c>
      <c r="E56" s="7">
        <v>818.8</v>
      </c>
      <c r="F56" s="7">
        <v>15</v>
      </c>
      <c r="G56" s="7">
        <v>0.15</v>
      </c>
      <c r="H56" s="8">
        <v>45468</v>
      </c>
      <c r="I56" s="7">
        <v>173.99</v>
      </c>
      <c r="J56" s="9">
        <f t="shared" si="0"/>
        <v>10439.699999999999</v>
      </c>
      <c r="N56" s="15"/>
    </row>
    <row r="57" spans="1:14" ht="17" customHeight="1" x14ac:dyDescent="0.35">
      <c r="A57" s="7" t="s">
        <v>104</v>
      </c>
      <c r="B57" s="7" t="s">
        <v>20</v>
      </c>
      <c r="C57" s="7" t="s">
        <v>26</v>
      </c>
      <c r="D57" s="7" t="s">
        <v>33</v>
      </c>
      <c r="E57" s="7">
        <v>919.04</v>
      </c>
      <c r="F57" s="7">
        <v>10</v>
      </c>
      <c r="G57" s="7">
        <v>0.2</v>
      </c>
      <c r="H57" s="8">
        <v>45468</v>
      </c>
      <c r="I57" s="7">
        <v>257.33</v>
      </c>
      <c r="J57" s="9">
        <f t="shared" si="0"/>
        <v>7352.32</v>
      </c>
      <c r="N57" s="15"/>
    </row>
    <row r="58" spans="1:14" ht="17" customHeight="1" x14ac:dyDescent="0.35">
      <c r="A58" s="7" t="s">
        <v>105</v>
      </c>
      <c r="B58" s="7" t="s">
        <v>106</v>
      </c>
      <c r="C58" s="7" t="s">
        <v>40</v>
      </c>
      <c r="D58" s="7" t="s">
        <v>18</v>
      </c>
      <c r="E58" s="7">
        <v>973.26</v>
      </c>
      <c r="F58" s="7">
        <v>11</v>
      </c>
      <c r="G58" s="7">
        <v>0</v>
      </c>
      <c r="H58" s="8">
        <v>45470</v>
      </c>
      <c r="I58" s="7">
        <v>389.3</v>
      </c>
      <c r="J58" s="9">
        <f t="shared" si="0"/>
        <v>10705.86</v>
      </c>
      <c r="N58" s="15"/>
    </row>
    <row r="59" spans="1:14" ht="17" customHeight="1" x14ac:dyDescent="0.35">
      <c r="A59" s="7" t="s">
        <v>107</v>
      </c>
      <c r="B59" s="7" t="s">
        <v>101</v>
      </c>
      <c r="C59" s="7" t="s">
        <v>30</v>
      </c>
      <c r="D59" s="7" t="s">
        <v>27</v>
      </c>
      <c r="E59" s="7">
        <v>741.61</v>
      </c>
      <c r="F59" s="7">
        <v>1</v>
      </c>
      <c r="G59" s="7">
        <v>0.2</v>
      </c>
      <c r="H59" s="8">
        <v>45471</v>
      </c>
      <c r="I59" s="7">
        <v>148.32</v>
      </c>
      <c r="J59" s="9">
        <f t="shared" si="0"/>
        <v>593.28800000000001</v>
      </c>
      <c r="N59" s="15"/>
    </row>
    <row r="60" spans="1:14" ht="17" customHeight="1" x14ac:dyDescent="0.35">
      <c r="A60" s="7" t="s">
        <v>108</v>
      </c>
      <c r="B60" s="7" t="s">
        <v>44</v>
      </c>
      <c r="C60" s="7" t="s">
        <v>30</v>
      </c>
      <c r="D60" s="7" t="s">
        <v>18</v>
      </c>
      <c r="E60" s="7">
        <v>1248.82</v>
      </c>
      <c r="F60" s="7">
        <v>2</v>
      </c>
      <c r="G60" s="7">
        <v>0.1</v>
      </c>
      <c r="H60" s="8">
        <v>45473</v>
      </c>
      <c r="I60" s="7">
        <v>449.58</v>
      </c>
      <c r="J60" s="9">
        <f t="shared" si="0"/>
        <v>2247.8759999999997</v>
      </c>
      <c r="N60" s="15"/>
    </row>
    <row r="61" spans="1:14" ht="17" customHeight="1" x14ac:dyDescent="0.35">
      <c r="A61" s="7" t="s">
        <v>109</v>
      </c>
      <c r="B61" s="7" t="s">
        <v>84</v>
      </c>
      <c r="C61" s="7" t="s">
        <v>17</v>
      </c>
      <c r="D61" s="7" t="s">
        <v>21</v>
      </c>
      <c r="E61" s="7">
        <v>1360.36</v>
      </c>
      <c r="F61" s="7">
        <v>17</v>
      </c>
      <c r="G61" s="7">
        <v>0</v>
      </c>
      <c r="H61" s="8">
        <v>45473</v>
      </c>
      <c r="I61" s="7">
        <v>680.18</v>
      </c>
      <c r="J61" s="9">
        <f t="shared" si="0"/>
        <v>23126.12</v>
      </c>
      <c r="N61" s="15"/>
    </row>
    <row r="62" spans="1:14" ht="17" customHeight="1" x14ac:dyDescent="0.35">
      <c r="A62" s="7" t="s">
        <v>110</v>
      </c>
      <c r="B62" s="7" t="s">
        <v>37</v>
      </c>
      <c r="C62" s="7" t="s">
        <v>24</v>
      </c>
      <c r="D62" s="7" t="s">
        <v>18</v>
      </c>
      <c r="E62" s="7">
        <v>1383.3</v>
      </c>
      <c r="F62" s="7">
        <v>8</v>
      </c>
      <c r="G62" s="7">
        <v>0.1</v>
      </c>
      <c r="H62" s="8">
        <v>45478</v>
      </c>
      <c r="I62" s="7">
        <v>497.99</v>
      </c>
      <c r="J62" s="9">
        <f t="shared" si="0"/>
        <v>9959.76</v>
      </c>
      <c r="N62" s="15"/>
    </row>
    <row r="63" spans="1:14" ht="17" customHeight="1" x14ac:dyDescent="0.35">
      <c r="A63" s="7" t="s">
        <v>111</v>
      </c>
      <c r="B63" s="7" t="s">
        <v>74</v>
      </c>
      <c r="C63" s="7" t="s">
        <v>40</v>
      </c>
      <c r="D63" s="7" t="s">
        <v>45</v>
      </c>
      <c r="E63" s="7">
        <v>488.99</v>
      </c>
      <c r="F63" s="7">
        <v>9</v>
      </c>
      <c r="G63" s="7">
        <v>0</v>
      </c>
      <c r="H63" s="8">
        <v>45479</v>
      </c>
      <c r="I63" s="7">
        <v>220.05</v>
      </c>
      <c r="J63" s="9">
        <f t="shared" si="0"/>
        <v>4400.91</v>
      </c>
      <c r="N63" s="15"/>
    </row>
    <row r="64" spans="1:14" ht="17" customHeight="1" x14ac:dyDescent="0.35">
      <c r="A64" s="7" t="s">
        <v>112</v>
      </c>
      <c r="B64" s="7" t="s">
        <v>37</v>
      </c>
      <c r="C64" s="7" t="s">
        <v>24</v>
      </c>
      <c r="D64" s="7" t="s">
        <v>33</v>
      </c>
      <c r="E64" s="7">
        <v>933.71</v>
      </c>
      <c r="F64" s="7">
        <v>17</v>
      </c>
      <c r="G64" s="7">
        <v>0.1</v>
      </c>
      <c r="H64" s="8">
        <v>45481</v>
      </c>
      <c r="I64" s="7">
        <v>294.12</v>
      </c>
      <c r="J64" s="9">
        <f t="shared" si="0"/>
        <v>14285.763000000001</v>
      </c>
      <c r="N64" s="15"/>
    </row>
    <row r="65" spans="1:14" ht="17" customHeight="1" x14ac:dyDescent="0.35">
      <c r="A65" s="7" t="s">
        <v>113</v>
      </c>
      <c r="B65" s="7" t="s">
        <v>16</v>
      </c>
      <c r="C65" s="7" t="s">
        <v>17</v>
      </c>
      <c r="D65" s="7" t="s">
        <v>27</v>
      </c>
      <c r="E65" s="7">
        <v>1005.53</v>
      </c>
      <c r="F65" s="7">
        <v>17</v>
      </c>
      <c r="G65" s="7">
        <v>0.2</v>
      </c>
      <c r="H65" s="8">
        <v>45481</v>
      </c>
      <c r="I65" s="7">
        <v>201.11</v>
      </c>
      <c r="J65" s="9">
        <f t="shared" si="0"/>
        <v>13675.207999999999</v>
      </c>
      <c r="N65" s="15"/>
    </row>
    <row r="66" spans="1:14" ht="17" customHeight="1" x14ac:dyDescent="0.35">
      <c r="A66" s="7" t="s">
        <v>114</v>
      </c>
      <c r="B66" s="7" t="s">
        <v>86</v>
      </c>
      <c r="C66" s="7" t="s">
        <v>26</v>
      </c>
      <c r="D66" s="7" t="s">
        <v>27</v>
      </c>
      <c r="E66" s="7">
        <v>1100.0999999999999</v>
      </c>
      <c r="F66" s="7">
        <v>5</v>
      </c>
      <c r="G66" s="7">
        <v>0.05</v>
      </c>
      <c r="H66" s="8">
        <v>45482</v>
      </c>
      <c r="I66" s="7">
        <v>261.27</v>
      </c>
      <c r="J66" s="9">
        <f t="shared" si="0"/>
        <v>5225.4749999999995</v>
      </c>
      <c r="N66" s="15"/>
    </row>
    <row r="67" spans="1:14" ht="17" customHeight="1" x14ac:dyDescent="0.35">
      <c r="A67" s="7" t="s">
        <v>115</v>
      </c>
      <c r="B67" s="7" t="s">
        <v>29</v>
      </c>
      <c r="C67" s="7" t="s">
        <v>30</v>
      </c>
      <c r="D67" s="7" t="s">
        <v>33</v>
      </c>
      <c r="E67" s="7">
        <v>1034.7</v>
      </c>
      <c r="F67" s="7">
        <v>15</v>
      </c>
      <c r="G67" s="7">
        <v>0.15</v>
      </c>
      <c r="H67" s="8">
        <v>45487</v>
      </c>
      <c r="I67" s="7">
        <v>307.82</v>
      </c>
      <c r="J67" s="9">
        <f t="shared" ref="J67:J130" si="3">(E67 * F67) * (1 - G67)</f>
        <v>13192.424999999999</v>
      </c>
      <c r="N67" s="15"/>
    </row>
    <row r="68" spans="1:14" ht="17" customHeight="1" x14ac:dyDescent="0.35">
      <c r="A68" s="7" t="s">
        <v>116</v>
      </c>
      <c r="B68" s="7" t="s">
        <v>37</v>
      </c>
      <c r="C68" s="7" t="s">
        <v>26</v>
      </c>
      <c r="D68" s="7" t="s">
        <v>18</v>
      </c>
      <c r="E68" s="7">
        <v>876.44</v>
      </c>
      <c r="F68" s="7">
        <v>12</v>
      </c>
      <c r="G68" s="7">
        <v>0.05</v>
      </c>
      <c r="H68" s="8">
        <v>45488</v>
      </c>
      <c r="I68" s="7">
        <v>333.05</v>
      </c>
      <c r="J68" s="9">
        <f t="shared" si="3"/>
        <v>9991.4159999999993</v>
      </c>
      <c r="N68" s="15"/>
    </row>
    <row r="69" spans="1:14" ht="17" customHeight="1" x14ac:dyDescent="0.35">
      <c r="A69" s="7" t="s">
        <v>117</v>
      </c>
      <c r="B69" s="7" t="s">
        <v>74</v>
      </c>
      <c r="C69" s="7" t="s">
        <v>17</v>
      </c>
      <c r="D69" s="7" t="s">
        <v>33</v>
      </c>
      <c r="E69" s="7">
        <v>1371.34</v>
      </c>
      <c r="F69" s="7">
        <v>5</v>
      </c>
      <c r="G69" s="7">
        <v>0.05</v>
      </c>
      <c r="H69" s="8">
        <v>45488</v>
      </c>
      <c r="I69" s="7">
        <v>455.97</v>
      </c>
      <c r="J69" s="9">
        <f t="shared" si="3"/>
        <v>6513.8649999999998</v>
      </c>
      <c r="N69" s="15"/>
    </row>
    <row r="70" spans="1:14" ht="17" customHeight="1" x14ac:dyDescent="0.35">
      <c r="A70" s="7" t="s">
        <v>118</v>
      </c>
      <c r="B70" s="7" t="s">
        <v>57</v>
      </c>
      <c r="C70" s="7" t="s">
        <v>30</v>
      </c>
      <c r="D70" s="7" t="s">
        <v>27</v>
      </c>
      <c r="E70" s="7">
        <v>1020.26</v>
      </c>
      <c r="F70" s="7">
        <v>11</v>
      </c>
      <c r="G70" s="7">
        <v>0.05</v>
      </c>
      <c r="H70" s="8">
        <v>45494</v>
      </c>
      <c r="I70" s="7">
        <v>242.31</v>
      </c>
      <c r="J70" s="9">
        <f t="shared" si="3"/>
        <v>10661.717000000001</v>
      </c>
      <c r="N70" s="15"/>
    </row>
    <row r="71" spans="1:14" ht="17" customHeight="1" x14ac:dyDescent="0.35">
      <c r="A71" s="7" t="s">
        <v>119</v>
      </c>
      <c r="B71" s="7" t="s">
        <v>16</v>
      </c>
      <c r="C71" s="7" t="s">
        <v>40</v>
      </c>
      <c r="D71" s="7" t="s">
        <v>45</v>
      </c>
      <c r="E71" s="7">
        <v>804.81</v>
      </c>
      <c r="F71" s="7">
        <v>1</v>
      </c>
      <c r="G71" s="7">
        <v>0.05</v>
      </c>
      <c r="H71" s="8">
        <v>45502</v>
      </c>
      <c r="I71" s="7">
        <v>344.06</v>
      </c>
      <c r="J71" s="9">
        <f t="shared" si="3"/>
        <v>764.56949999999995</v>
      </c>
      <c r="N71" s="15"/>
    </row>
    <row r="72" spans="1:14" ht="17" customHeight="1" x14ac:dyDescent="0.35">
      <c r="A72" s="7" t="s">
        <v>120</v>
      </c>
      <c r="B72" s="7" t="s">
        <v>74</v>
      </c>
      <c r="C72" s="7" t="s">
        <v>40</v>
      </c>
      <c r="D72" s="7" t="s">
        <v>27</v>
      </c>
      <c r="E72" s="7">
        <v>608.66</v>
      </c>
      <c r="F72" s="7">
        <v>1</v>
      </c>
      <c r="G72" s="7">
        <v>0.05</v>
      </c>
      <c r="H72" s="8">
        <v>45503</v>
      </c>
      <c r="I72" s="7">
        <v>144.56</v>
      </c>
      <c r="J72" s="9">
        <f t="shared" si="3"/>
        <v>578.22699999999998</v>
      </c>
      <c r="N72" s="15"/>
    </row>
    <row r="73" spans="1:14" ht="17" customHeight="1" x14ac:dyDescent="0.35">
      <c r="A73" s="7" t="s">
        <v>121</v>
      </c>
      <c r="B73" s="7" t="s">
        <v>122</v>
      </c>
      <c r="C73" s="7" t="s">
        <v>26</v>
      </c>
      <c r="D73" s="7" t="s">
        <v>45</v>
      </c>
      <c r="E73" s="7">
        <v>981.2</v>
      </c>
      <c r="F73" s="7">
        <v>19</v>
      </c>
      <c r="G73" s="7">
        <v>0</v>
      </c>
      <c r="H73" s="8">
        <v>45504</v>
      </c>
      <c r="I73" s="7">
        <v>441.54</v>
      </c>
      <c r="J73" s="9">
        <f t="shared" si="3"/>
        <v>18642.8</v>
      </c>
      <c r="N73" s="15"/>
    </row>
    <row r="74" spans="1:14" ht="17" customHeight="1" x14ac:dyDescent="0.35">
      <c r="A74" s="7" t="s">
        <v>123</v>
      </c>
      <c r="B74" s="7" t="s">
        <v>74</v>
      </c>
      <c r="C74" s="7" t="s">
        <v>24</v>
      </c>
      <c r="D74" s="7" t="s">
        <v>27</v>
      </c>
      <c r="E74" s="7">
        <v>539.77</v>
      </c>
      <c r="F74" s="7">
        <v>10</v>
      </c>
      <c r="G74" s="7">
        <v>0.15</v>
      </c>
      <c r="H74" s="8">
        <v>45509</v>
      </c>
      <c r="I74" s="7">
        <v>114.7</v>
      </c>
      <c r="J74" s="9">
        <f t="shared" si="3"/>
        <v>4588.0450000000001</v>
      </c>
      <c r="N74" s="15"/>
    </row>
    <row r="75" spans="1:14" ht="17" customHeight="1" x14ac:dyDescent="0.35">
      <c r="A75" s="7" t="s">
        <v>124</v>
      </c>
      <c r="B75" s="7" t="s">
        <v>125</v>
      </c>
      <c r="C75" s="7" t="s">
        <v>26</v>
      </c>
      <c r="D75" s="7" t="s">
        <v>18</v>
      </c>
      <c r="E75" s="7">
        <v>804.45</v>
      </c>
      <c r="F75" s="7">
        <v>5</v>
      </c>
      <c r="G75" s="7">
        <v>0.2</v>
      </c>
      <c r="H75" s="8">
        <v>45509</v>
      </c>
      <c r="I75" s="7">
        <v>257.42</v>
      </c>
      <c r="J75" s="9">
        <f t="shared" si="3"/>
        <v>3217.8</v>
      </c>
      <c r="N75" s="15"/>
    </row>
    <row r="76" spans="1:14" ht="17" customHeight="1" x14ac:dyDescent="0.35">
      <c r="A76" s="7" t="s">
        <v>126</v>
      </c>
      <c r="B76" s="7" t="s">
        <v>44</v>
      </c>
      <c r="C76" s="7" t="s">
        <v>17</v>
      </c>
      <c r="D76" s="7" t="s">
        <v>27</v>
      </c>
      <c r="E76" s="7">
        <v>1526.6</v>
      </c>
      <c r="F76" s="7">
        <v>13</v>
      </c>
      <c r="G76" s="7">
        <v>0.2</v>
      </c>
      <c r="H76" s="8">
        <v>45512</v>
      </c>
      <c r="I76" s="7">
        <v>305.32</v>
      </c>
      <c r="J76" s="9">
        <f t="shared" si="3"/>
        <v>15876.64</v>
      </c>
      <c r="N76" s="15"/>
    </row>
    <row r="77" spans="1:14" ht="17" customHeight="1" x14ac:dyDescent="0.35">
      <c r="A77" s="7" t="s">
        <v>127</v>
      </c>
      <c r="B77" s="7" t="s">
        <v>35</v>
      </c>
      <c r="C77" s="7" t="s">
        <v>17</v>
      </c>
      <c r="D77" s="7" t="s">
        <v>27</v>
      </c>
      <c r="E77" s="7">
        <v>1215.26</v>
      </c>
      <c r="F77" s="7">
        <v>5</v>
      </c>
      <c r="G77" s="7">
        <v>0.15</v>
      </c>
      <c r="H77" s="8">
        <v>45513</v>
      </c>
      <c r="I77" s="7">
        <v>258.24</v>
      </c>
      <c r="J77" s="9">
        <f t="shared" si="3"/>
        <v>5164.8550000000005</v>
      </c>
      <c r="N77" s="15"/>
    </row>
    <row r="78" spans="1:14" ht="17" customHeight="1" x14ac:dyDescent="0.35">
      <c r="A78" s="7" t="s">
        <v>128</v>
      </c>
      <c r="B78" s="7" t="s">
        <v>71</v>
      </c>
      <c r="C78" s="7" t="s">
        <v>40</v>
      </c>
      <c r="D78" s="7" t="s">
        <v>33</v>
      </c>
      <c r="E78" s="7">
        <v>1261.3399999999999</v>
      </c>
      <c r="F78" s="7">
        <v>3</v>
      </c>
      <c r="G78" s="7">
        <v>0</v>
      </c>
      <c r="H78" s="8">
        <v>45519</v>
      </c>
      <c r="I78" s="7">
        <v>441.47</v>
      </c>
      <c r="J78" s="9">
        <f t="shared" si="3"/>
        <v>3784.0199999999995</v>
      </c>
      <c r="N78" s="15"/>
    </row>
    <row r="79" spans="1:14" ht="17" customHeight="1" x14ac:dyDescent="0.35">
      <c r="A79" s="7" t="s">
        <v>129</v>
      </c>
      <c r="B79" s="7" t="s">
        <v>55</v>
      </c>
      <c r="C79" s="7" t="s">
        <v>30</v>
      </c>
      <c r="D79" s="7" t="s">
        <v>33</v>
      </c>
      <c r="E79" s="7">
        <v>518.07000000000005</v>
      </c>
      <c r="F79" s="7">
        <v>7</v>
      </c>
      <c r="G79" s="7">
        <v>0.05</v>
      </c>
      <c r="H79" s="8">
        <v>45522</v>
      </c>
      <c r="I79" s="7">
        <v>172.26</v>
      </c>
      <c r="J79" s="9">
        <f t="shared" si="3"/>
        <v>3445.1655000000001</v>
      </c>
      <c r="N79" s="15"/>
    </row>
    <row r="80" spans="1:14" ht="17" customHeight="1" x14ac:dyDescent="0.35">
      <c r="A80" s="7" t="s">
        <v>130</v>
      </c>
      <c r="B80" s="7" t="s">
        <v>35</v>
      </c>
      <c r="C80" s="7" t="s">
        <v>17</v>
      </c>
      <c r="D80" s="7" t="s">
        <v>45</v>
      </c>
      <c r="E80" s="7">
        <v>1111.3399999999999</v>
      </c>
      <c r="F80" s="7">
        <v>1</v>
      </c>
      <c r="G80" s="7">
        <v>0</v>
      </c>
      <c r="H80" s="8">
        <v>45523</v>
      </c>
      <c r="I80" s="7">
        <v>500.1</v>
      </c>
      <c r="J80" s="9">
        <f t="shared" si="3"/>
        <v>1111.3399999999999</v>
      </c>
      <c r="N80" s="15"/>
    </row>
    <row r="81" spans="1:14" ht="17" customHeight="1" x14ac:dyDescent="0.35">
      <c r="A81" s="7" t="s">
        <v>131</v>
      </c>
      <c r="B81" s="7" t="s">
        <v>37</v>
      </c>
      <c r="C81" s="7" t="s">
        <v>24</v>
      </c>
      <c r="D81" s="7" t="s">
        <v>21</v>
      </c>
      <c r="E81" s="7">
        <v>1291.47</v>
      </c>
      <c r="F81" s="7">
        <v>18</v>
      </c>
      <c r="G81" s="7">
        <v>0.1</v>
      </c>
      <c r="H81" s="8">
        <v>45526</v>
      </c>
      <c r="I81" s="7">
        <v>581.16</v>
      </c>
      <c r="J81" s="9">
        <f t="shared" si="3"/>
        <v>20921.813999999998</v>
      </c>
      <c r="N81" s="15"/>
    </row>
    <row r="82" spans="1:14" ht="17" customHeight="1" x14ac:dyDescent="0.35">
      <c r="A82" s="7" t="s">
        <v>132</v>
      </c>
      <c r="B82" s="7" t="s">
        <v>74</v>
      </c>
      <c r="C82" s="7" t="s">
        <v>30</v>
      </c>
      <c r="D82" s="7" t="s">
        <v>18</v>
      </c>
      <c r="E82" s="7">
        <v>679.71</v>
      </c>
      <c r="F82" s="7">
        <v>19</v>
      </c>
      <c r="G82" s="7">
        <v>0</v>
      </c>
      <c r="H82" s="8">
        <v>45534</v>
      </c>
      <c r="I82" s="7">
        <v>271.88</v>
      </c>
      <c r="J82" s="9">
        <f t="shared" si="3"/>
        <v>12914.490000000002</v>
      </c>
      <c r="N82" s="15"/>
    </row>
    <row r="83" spans="1:14" ht="17" customHeight="1" x14ac:dyDescent="0.35">
      <c r="A83" s="7" t="s">
        <v>133</v>
      </c>
      <c r="B83" s="7" t="s">
        <v>39</v>
      </c>
      <c r="C83" s="7" t="s">
        <v>24</v>
      </c>
      <c r="D83" s="7" t="s">
        <v>33</v>
      </c>
      <c r="E83" s="7">
        <v>1143.69</v>
      </c>
      <c r="F83" s="7">
        <v>17</v>
      </c>
      <c r="G83" s="7">
        <v>0</v>
      </c>
      <c r="H83" s="8">
        <v>45534</v>
      </c>
      <c r="I83" s="7">
        <v>400.29</v>
      </c>
      <c r="J83" s="9">
        <f t="shared" si="3"/>
        <v>19442.73</v>
      </c>
      <c r="N83" s="15"/>
    </row>
    <row r="84" spans="1:14" ht="17" customHeight="1" x14ac:dyDescent="0.35">
      <c r="A84" s="7" t="s">
        <v>134</v>
      </c>
      <c r="B84" s="7" t="s">
        <v>66</v>
      </c>
      <c r="C84" s="7" t="s">
        <v>40</v>
      </c>
      <c r="D84" s="7" t="s">
        <v>27</v>
      </c>
      <c r="E84" s="7">
        <v>790.08</v>
      </c>
      <c r="F84" s="7">
        <v>7</v>
      </c>
      <c r="G84" s="7">
        <v>0.1</v>
      </c>
      <c r="H84" s="8">
        <v>45536</v>
      </c>
      <c r="I84" s="7">
        <v>177.77</v>
      </c>
      <c r="J84" s="9">
        <f t="shared" si="3"/>
        <v>4977.5040000000008</v>
      </c>
      <c r="N84" s="15"/>
    </row>
    <row r="85" spans="1:14" ht="17" customHeight="1" x14ac:dyDescent="0.35">
      <c r="A85" s="7" t="s">
        <v>135</v>
      </c>
      <c r="B85" s="7" t="s">
        <v>60</v>
      </c>
      <c r="C85" s="7" t="s">
        <v>40</v>
      </c>
      <c r="D85" s="7" t="s">
        <v>18</v>
      </c>
      <c r="E85" s="7">
        <v>1070.68</v>
      </c>
      <c r="F85" s="7">
        <v>7</v>
      </c>
      <c r="G85" s="7">
        <v>0.05</v>
      </c>
      <c r="H85" s="8">
        <v>45536</v>
      </c>
      <c r="I85" s="7">
        <v>406.86</v>
      </c>
      <c r="J85" s="9">
        <f t="shared" si="3"/>
        <v>7120.0219999999999</v>
      </c>
      <c r="N85" s="15"/>
    </row>
    <row r="86" spans="1:14" ht="17" customHeight="1" x14ac:dyDescent="0.35">
      <c r="A86" s="7" t="s">
        <v>136</v>
      </c>
      <c r="B86" s="7" t="s">
        <v>42</v>
      </c>
      <c r="C86" s="7" t="s">
        <v>17</v>
      </c>
      <c r="D86" s="7" t="s">
        <v>21</v>
      </c>
      <c r="E86" s="7">
        <v>1168.8900000000001</v>
      </c>
      <c r="F86" s="7">
        <v>4</v>
      </c>
      <c r="G86" s="7">
        <v>0.1</v>
      </c>
      <c r="H86" s="8">
        <v>45544</v>
      </c>
      <c r="I86" s="7">
        <v>526</v>
      </c>
      <c r="J86" s="9">
        <f t="shared" si="3"/>
        <v>4208.0040000000008</v>
      </c>
      <c r="N86" s="15"/>
    </row>
    <row r="87" spans="1:14" ht="17" customHeight="1" x14ac:dyDescent="0.35">
      <c r="A87" s="7" t="s">
        <v>137</v>
      </c>
      <c r="B87" s="7" t="s">
        <v>16</v>
      </c>
      <c r="C87" s="7" t="s">
        <v>26</v>
      </c>
      <c r="D87" s="7" t="s">
        <v>27</v>
      </c>
      <c r="E87" s="7">
        <v>1335.87</v>
      </c>
      <c r="F87" s="7">
        <v>17</v>
      </c>
      <c r="G87" s="7">
        <v>0</v>
      </c>
      <c r="H87" s="8">
        <v>45544</v>
      </c>
      <c r="I87" s="7">
        <v>333.97</v>
      </c>
      <c r="J87" s="9">
        <f t="shared" si="3"/>
        <v>22709.789999999997</v>
      </c>
      <c r="N87" s="15"/>
    </row>
    <row r="88" spans="1:14" ht="17" customHeight="1" x14ac:dyDescent="0.35">
      <c r="A88" s="7" t="s">
        <v>138</v>
      </c>
      <c r="B88" s="7" t="s">
        <v>74</v>
      </c>
      <c r="C88" s="7" t="s">
        <v>24</v>
      </c>
      <c r="D88" s="7" t="s">
        <v>33</v>
      </c>
      <c r="E88" s="7">
        <v>873.7</v>
      </c>
      <c r="F88" s="7">
        <v>9</v>
      </c>
      <c r="G88" s="7">
        <v>0</v>
      </c>
      <c r="H88" s="8">
        <v>45546</v>
      </c>
      <c r="I88" s="7">
        <v>305.8</v>
      </c>
      <c r="J88" s="9">
        <f t="shared" si="3"/>
        <v>7863.3</v>
      </c>
      <c r="N88" s="15"/>
    </row>
    <row r="89" spans="1:14" ht="17" customHeight="1" x14ac:dyDescent="0.35">
      <c r="A89" s="7" t="s">
        <v>139</v>
      </c>
      <c r="B89" s="7" t="s">
        <v>101</v>
      </c>
      <c r="C89" s="7" t="s">
        <v>17</v>
      </c>
      <c r="D89" s="7" t="s">
        <v>45</v>
      </c>
      <c r="E89" s="7">
        <v>1443.98</v>
      </c>
      <c r="F89" s="7">
        <v>19</v>
      </c>
      <c r="G89" s="7">
        <v>0</v>
      </c>
      <c r="H89" s="8">
        <v>45547</v>
      </c>
      <c r="I89" s="7">
        <v>649.79</v>
      </c>
      <c r="J89" s="9">
        <f t="shared" si="3"/>
        <v>27435.62</v>
      </c>
      <c r="N89" s="15"/>
    </row>
    <row r="90" spans="1:14" ht="17" customHeight="1" x14ac:dyDescent="0.35">
      <c r="A90" s="7" t="s">
        <v>140</v>
      </c>
      <c r="B90" s="7" t="s">
        <v>29</v>
      </c>
      <c r="C90" s="7" t="s">
        <v>24</v>
      </c>
      <c r="D90" s="7" t="s">
        <v>45</v>
      </c>
      <c r="E90" s="7">
        <v>1154.33</v>
      </c>
      <c r="F90" s="7">
        <v>11</v>
      </c>
      <c r="G90" s="7">
        <v>0.15</v>
      </c>
      <c r="H90" s="8">
        <v>45549</v>
      </c>
      <c r="I90" s="7">
        <v>441.53</v>
      </c>
      <c r="J90" s="9">
        <f t="shared" si="3"/>
        <v>10792.985499999999</v>
      </c>
      <c r="N90" s="15"/>
    </row>
    <row r="91" spans="1:14" ht="17" customHeight="1" x14ac:dyDescent="0.35">
      <c r="A91" s="7" t="s">
        <v>141</v>
      </c>
      <c r="B91" s="7" t="s">
        <v>66</v>
      </c>
      <c r="C91" s="7" t="s">
        <v>26</v>
      </c>
      <c r="D91" s="7" t="s">
        <v>18</v>
      </c>
      <c r="E91" s="7">
        <v>1264.49</v>
      </c>
      <c r="F91" s="7">
        <v>16</v>
      </c>
      <c r="G91" s="7">
        <v>0.05</v>
      </c>
      <c r="H91" s="8">
        <v>45549</v>
      </c>
      <c r="I91" s="7">
        <v>480.51</v>
      </c>
      <c r="J91" s="9">
        <f t="shared" si="3"/>
        <v>19220.248</v>
      </c>
      <c r="N91" s="15"/>
    </row>
    <row r="92" spans="1:14" ht="17" customHeight="1" x14ac:dyDescent="0.35">
      <c r="A92" s="7" t="s">
        <v>142</v>
      </c>
      <c r="B92" s="7" t="s">
        <v>106</v>
      </c>
      <c r="C92" s="7" t="s">
        <v>17</v>
      </c>
      <c r="D92" s="7" t="s">
        <v>33</v>
      </c>
      <c r="E92" s="7">
        <v>1101.55</v>
      </c>
      <c r="F92" s="7">
        <v>4</v>
      </c>
      <c r="G92" s="7">
        <v>0.1</v>
      </c>
      <c r="H92" s="8">
        <v>45551</v>
      </c>
      <c r="I92" s="7">
        <v>346.99</v>
      </c>
      <c r="J92" s="9">
        <f t="shared" si="3"/>
        <v>3965.58</v>
      </c>
      <c r="N92" s="15"/>
    </row>
    <row r="93" spans="1:14" ht="17" customHeight="1" x14ac:dyDescent="0.35">
      <c r="A93" s="7" t="s">
        <v>143</v>
      </c>
      <c r="B93" s="7" t="s">
        <v>20</v>
      </c>
      <c r="C93" s="7" t="s">
        <v>26</v>
      </c>
      <c r="D93" s="7" t="s">
        <v>33</v>
      </c>
      <c r="E93" s="7">
        <v>727.73</v>
      </c>
      <c r="F93" s="7">
        <v>1</v>
      </c>
      <c r="G93" s="7">
        <v>0.1</v>
      </c>
      <c r="H93" s="8">
        <v>45552</v>
      </c>
      <c r="I93" s="7">
        <v>229.23</v>
      </c>
      <c r="J93" s="9">
        <f t="shared" si="3"/>
        <v>654.95699999999999</v>
      </c>
      <c r="N93" s="15"/>
    </row>
    <row r="94" spans="1:14" ht="17" customHeight="1" x14ac:dyDescent="0.35">
      <c r="A94" s="7" t="s">
        <v>144</v>
      </c>
      <c r="B94" s="7" t="s">
        <v>44</v>
      </c>
      <c r="C94" s="7" t="s">
        <v>24</v>
      </c>
      <c r="D94" s="7" t="s">
        <v>45</v>
      </c>
      <c r="E94" s="7">
        <v>875.41</v>
      </c>
      <c r="F94" s="7">
        <v>13</v>
      </c>
      <c r="G94" s="7">
        <v>0.15</v>
      </c>
      <c r="H94" s="8">
        <v>45552</v>
      </c>
      <c r="I94" s="7">
        <v>334.84</v>
      </c>
      <c r="J94" s="9">
        <f t="shared" si="3"/>
        <v>9673.2804999999989</v>
      </c>
      <c r="N94" s="15"/>
    </row>
    <row r="95" spans="1:14" ht="17" customHeight="1" x14ac:dyDescent="0.35">
      <c r="A95" s="7" t="s">
        <v>145</v>
      </c>
      <c r="B95" s="7" t="s">
        <v>29</v>
      </c>
      <c r="C95" s="7" t="s">
        <v>17</v>
      </c>
      <c r="D95" s="7" t="s">
        <v>27</v>
      </c>
      <c r="E95" s="7">
        <v>1158.94</v>
      </c>
      <c r="F95" s="7">
        <v>19</v>
      </c>
      <c r="G95" s="7">
        <v>0.2</v>
      </c>
      <c r="H95" s="8">
        <v>45553</v>
      </c>
      <c r="I95" s="7">
        <v>231.79</v>
      </c>
      <c r="J95" s="9">
        <f t="shared" si="3"/>
        <v>17615.888000000003</v>
      </c>
      <c r="N95" s="15"/>
    </row>
    <row r="96" spans="1:14" ht="17" customHeight="1" x14ac:dyDescent="0.35">
      <c r="A96" s="7" t="s">
        <v>146</v>
      </c>
      <c r="B96" s="7" t="s">
        <v>57</v>
      </c>
      <c r="C96" s="7" t="s">
        <v>26</v>
      </c>
      <c r="D96" s="7" t="s">
        <v>18</v>
      </c>
      <c r="E96" s="7">
        <v>966.3</v>
      </c>
      <c r="F96" s="7">
        <v>2</v>
      </c>
      <c r="G96" s="7">
        <v>0.15</v>
      </c>
      <c r="H96" s="8">
        <v>45557</v>
      </c>
      <c r="I96" s="7">
        <v>328.54</v>
      </c>
      <c r="J96" s="9">
        <f t="shared" si="3"/>
        <v>1642.7099999999998</v>
      </c>
      <c r="N96" s="15"/>
    </row>
    <row r="97" spans="1:14" ht="17" customHeight="1" x14ac:dyDescent="0.35">
      <c r="A97" s="7" t="s">
        <v>147</v>
      </c>
      <c r="B97" s="7" t="s">
        <v>23</v>
      </c>
      <c r="C97" s="7" t="s">
        <v>26</v>
      </c>
      <c r="D97" s="7" t="s">
        <v>18</v>
      </c>
      <c r="E97" s="7">
        <v>917.48</v>
      </c>
      <c r="F97" s="7">
        <v>6</v>
      </c>
      <c r="G97" s="7">
        <v>0</v>
      </c>
      <c r="H97" s="8">
        <v>45558</v>
      </c>
      <c r="I97" s="7">
        <v>366.99</v>
      </c>
      <c r="J97" s="9">
        <f t="shared" si="3"/>
        <v>5504.88</v>
      </c>
      <c r="N97" s="15"/>
    </row>
    <row r="98" spans="1:14" ht="17" customHeight="1" x14ac:dyDescent="0.35">
      <c r="A98" s="7" t="s">
        <v>148</v>
      </c>
      <c r="B98" s="7" t="s">
        <v>86</v>
      </c>
      <c r="C98" s="7" t="s">
        <v>17</v>
      </c>
      <c r="D98" s="7" t="s">
        <v>33</v>
      </c>
      <c r="E98" s="7">
        <v>1172.97</v>
      </c>
      <c r="F98" s="7">
        <v>7</v>
      </c>
      <c r="G98" s="7">
        <v>0.15</v>
      </c>
      <c r="H98" s="8">
        <v>45559</v>
      </c>
      <c r="I98" s="7">
        <v>348.96</v>
      </c>
      <c r="J98" s="9">
        <f t="shared" si="3"/>
        <v>6979.1715000000004</v>
      </c>
      <c r="N98" s="15"/>
    </row>
    <row r="99" spans="1:14" ht="17" customHeight="1" x14ac:dyDescent="0.35">
      <c r="A99" s="7" t="s">
        <v>149</v>
      </c>
      <c r="B99" s="7" t="s">
        <v>29</v>
      </c>
      <c r="C99" s="7" t="s">
        <v>30</v>
      </c>
      <c r="D99" s="7" t="s">
        <v>21</v>
      </c>
      <c r="E99" s="7">
        <v>1205.82</v>
      </c>
      <c r="F99" s="7">
        <v>11</v>
      </c>
      <c r="G99" s="7">
        <v>0.1</v>
      </c>
      <c r="H99" s="8">
        <v>45559</v>
      </c>
      <c r="I99" s="7">
        <v>542.62</v>
      </c>
      <c r="J99" s="9">
        <f t="shared" si="3"/>
        <v>11937.617999999999</v>
      </c>
      <c r="N99" s="15"/>
    </row>
    <row r="100" spans="1:14" ht="17" customHeight="1" x14ac:dyDescent="0.35">
      <c r="A100" s="7" t="s">
        <v>150</v>
      </c>
      <c r="B100" s="7" t="s">
        <v>101</v>
      </c>
      <c r="C100" s="7" t="s">
        <v>17</v>
      </c>
      <c r="D100" s="7" t="s">
        <v>45</v>
      </c>
      <c r="E100" s="7">
        <v>826.93</v>
      </c>
      <c r="F100" s="7">
        <v>10</v>
      </c>
      <c r="G100" s="7">
        <v>0.2</v>
      </c>
      <c r="H100" s="8">
        <v>45564</v>
      </c>
      <c r="I100" s="7">
        <v>297.69</v>
      </c>
      <c r="J100" s="9">
        <f t="shared" si="3"/>
        <v>6615.44</v>
      </c>
      <c r="N100" s="15"/>
    </row>
    <row r="101" spans="1:14" ht="17" customHeight="1" x14ac:dyDescent="0.35">
      <c r="A101" s="7" t="s">
        <v>151</v>
      </c>
      <c r="B101" s="7" t="s">
        <v>29</v>
      </c>
      <c r="C101" s="7" t="s">
        <v>40</v>
      </c>
      <c r="D101" s="7" t="s">
        <v>21</v>
      </c>
      <c r="E101" s="7">
        <v>902.19</v>
      </c>
      <c r="F101" s="7">
        <v>12</v>
      </c>
      <c r="G101" s="7">
        <v>0</v>
      </c>
      <c r="H101" s="8">
        <v>45564</v>
      </c>
      <c r="I101" s="7">
        <v>451.1</v>
      </c>
      <c r="J101" s="9">
        <f t="shared" si="3"/>
        <v>10826.28</v>
      </c>
      <c r="N101" s="15"/>
    </row>
    <row r="102" spans="1:14" ht="17" customHeight="1" x14ac:dyDescent="0.35">
      <c r="A102" s="7" t="s">
        <v>152</v>
      </c>
      <c r="B102" s="7" t="s">
        <v>44</v>
      </c>
      <c r="C102" s="7" t="s">
        <v>30</v>
      </c>
      <c r="D102" s="7" t="s">
        <v>18</v>
      </c>
      <c r="E102" s="7">
        <v>585.97</v>
      </c>
      <c r="F102" s="7">
        <v>17</v>
      </c>
      <c r="G102" s="7">
        <v>0.1</v>
      </c>
      <c r="H102" s="8">
        <v>45565</v>
      </c>
      <c r="I102" s="7">
        <v>210.95</v>
      </c>
      <c r="J102" s="9">
        <f t="shared" si="3"/>
        <v>8965.3410000000003</v>
      </c>
      <c r="N102" s="15"/>
    </row>
    <row r="103" spans="1:14" ht="17" customHeight="1" x14ac:dyDescent="0.35">
      <c r="A103" s="7" t="s">
        <v>153</v>
      </c>
      <c r="B103" s="7" t="s">
        <v>32</v>
      </c>
      <c r="C103" s="7" t="s">
        <v>30</v>
      </c>
      <c r="D103" s="7" t="s">
        <v>21</v>
      </c>
      <c r="E103" s="7">
        <v>990.19</v>
      </c>
      <c r="F103" s="7">
        <v>8</v>
      </c>
      <c r="G103" s="7">
        <v>0.1</v>
      </c>
      <c r="H103" s="8">
        <v>45565</v>
      </c>
      <c r="I103" s="7">
        <v>445.59</v>
      </c>
      <c r="J103" s="9">
        <f t="shared" si="3"/>
        <v>7129.3680000000004</v>
      </c>
      <c r="N103" s="15"/>
    </row>
    <row r="104" spans="1:14" ht="17" customHeight="1" x14ac:dyDescent="0.35">
      <c r="A104" s="7" t="s">
        <v>154</v>
      </c>
      <c r="B104" s="7" t="s">
        <v>76</v>
      </c>
      <c r="C104" s="7" t="s">
        <v>40</v>
      </c>
      <c r="D104" s="7" t="s">
        <v>27</v>
      </c>
      <c r="E104" s="7">
        <v>1014.09</v>
      </c>
      <c r="F104" s="7">
        <v>13</v>
      </c>
      <c r="G104" s="7">
        <v>0.2</v>
      </c>
      <c r="H104" s="8">
        <v>45567</v>
      </c>
      <c r="I104" s="7">
        <v>202.82</v>
      </c>
      <c r="J104" s="9">
        <f t="shared" si="3"/>
        <v>10546.536</v>
      </c>
      <c r="N104" s="15"/>
    </row>
    <row r="105" spans="1:14" ht="17" customHeight="1" x14ac:dyDescent="0.35">
      <c r="A105" s="7" t="s">
        <v>155</v>
      </c>
      <c r="B105" s="7" t="s">
        <v>60</v>
      </c>
      <c r="C105" s="7" t="s">
        <v>30</v>
      </c>
      <c r="D105" s="7" t="s">
        <v>27</v>
      </c>
      <c r="E105" s="7">
        <v>925.29</v>
      </c>
      <c r="F105" s="7">
        <v>17</v>
      </c>
      <c r="G105" s="7">
        <v>0</v>
      </c>
      <c r="H105" s="8">
        <v>45570</v>
      </c>
      <c r="I105" s="7">
        <v>231.32</v>
      </c>
      <c r="J105" s="9">
        <f t="shared" si="3"/>
        <v>15729.93</v>
      </c>
      <c r="N105" s="15"/>
    </row>
    <row r="106" spans="1:14" ht="17" customHeight="1" x14ac:dyDescent="0.35">
      <c r="A106" s="7" t="s">
        <v>156</v>
      </c>
      <c r="B106" s="7" t="s">
        <v>57</v>
      </c>
      <c r="C106" s="7" t="s">
        <v>24</v>
      </c>
      <c r="D106" s="7" t="s">
        <v>33</v>
      </c>
      <c r="E106" s="7">
        <v>1286.54</v>
      </c>
      <c r="F106" s="7">
        <v>8</v>
      </c>
      <c r="G106" s="7">
        <v>0</v>
      </c>
      <c r="H106" s="8">
        <v>45575</v>
      </c>
      <c r="I106" s="7">
        <v>450.29</v>
      </c>
      <c r="J106" s="9">
        <f t="shared" si="3"/>
        <v>10292.32</v>
      </c>
      <c r="N106" s="15"/>
    </row>
    <row r="107" spans="1:14" ht="17" customHeight="1" x14ac:dyDescent="0.35">
      <c r="A107" s="7" t="s">
        <v>157</v>
      </c>
      <c r="B107" s="7" t="s">
        <v>101</v>
      </c>
      <c r="C107" s="7" t="s">
        <v>26</v>
      </c>
      <c r="D107" s="7" t="s">
        <v>18</v>
      </c>
      <c r="E107" s="7">
        <v>961.62</v>
      </c>
      <c r="F107" s="7">
        <v>8</v>
      </c>
      <c r="G107" s="7">
        <v>0.2</v>
      </c>
      <c r="H107" s="8">
        <v>45577</v>
      </c>
      <c r="I107" s="7">
        <v>307.72000000000003</v>
      </c>
      <c r="J107" s="9">
        <f t="shared" si="3"/>
        <v>6154.3680000000004</v>
      </c>
      <c r="N107" s="15"/>
    </row>
    <row r="108" spans="1:14" ht="17" customHeight="1" x14ac:dyDescent="0.35">
      <c r="A108" s="7" t="s">
        <v>158</v>
      </c>
      <c r="B108" s="7" t="s">
        <v>29</v>
      </c>
      <c r="C108" s="7" t="s">
        <v>24</v>
      </c>
      <c r="D108" s="7" t="s">
        <v>18</v>
      </c>
      <c r="E108" s="7">
        <v>1081.1400000000001</v>
      </c>
      <c r="F108" s="7">
        <v>19</v>
      </c>
      <c r="G108" s="7">
        <v>0.15</v>
      </c>
      <c r="H108" s="8">
        <v>45577</v>
      </c>
      <c r="I108" s="7">
        <v>367.59</v>
      </c>
      <c r="J108" s="9">
        <f t="shared" si="3"/>
        <v>17460.411000000004</v>
      </c>
      <c r="N108" s="15"/>
    </row>
    <row r="109" spans="1:14" ht="17" customHeight="1" x14ac:dyDescent="0.35">
      <c r="A109" s="7" t="s">
        <v>159</v>
      </c>
      <c r="B109" s="7" t="s">
        <v>29</v>
      </c>
      <c r="C109" s="7" t="s">
        <v>17</v>
      </c>
      <c r="D109" s="7" t="s">
        <v>21</v>
      </c>
      <c r="E109" s="7">
        <v>1923.66</v>
      </c>
      <c r="F109" s="7">
        <v>9</v>
      </c>
      <c r="G109" s="7">
        <v>0.2</v>
      </c>
      <c r="H109" s="8">
        <v>45580</v>
      </c>
      <c r="I109" s="7">
        <v>769.46</v>
      </c>
      <c r="J109" s="9">
        <f t="shared" si="3"/>
        <v>13850.352000000003</v>
      </c>
      <c r="N109" s="15"/>
    </row>
    <row r="110" spans="1:14" ht="17" customHeight="1" x14ac:dyDescent="0.35">
      <c r="A110" s="7" t="s">
        <v>160</v>
      </c>
      <c r="B110" s="7" t="s">
        <v>106</v>
      </c>
      <c r="C110" s="7" t="s">
        <v>40</v>
      </c>
      <c r="D110" s="7" t="s">
        <v>21</v>
      </c>
      <c r="E110" s="7">
        <v>728.71</v>
      </c>
      <c r="F110" s="7">
        <v>14</v>
      </c>
      <c r="G110" s="7">
        <v>0.1</v>
      </c>
      <c r="H110" s="8">
        <v>45581</v>
      </c>
      <c r="I110" s="7">
        <v>327.92</v>
      </c>
      <c r="J110" s="9">
        <f t="shared" si="3"/>
        <v>9181.746000000001</v>
      </c>
      <c r="N110" s="15"/>
    </row>
    <row r="111" spans="1:14" ht="17" customHeight="1" x14ac:dyDescent="0.35">
      <c r="A111" s="7" t="s">
        <v>161</v>
      </c>
      <c r="B111" s="7" t="s">
        <v>39</v>
      </c>
      <c r="C111" s="7" t="s">
        <v>40</v>
      </c>
      <c r="D111" s="7" t="s">
        <v>21</v>
      </c>
      <c r="E111" s="7">
        <v>1301.8900000000001</v>
      </c>
      <c r="F111" s="7">
        <v>7</v>
      </c>
      <c r="G111" s="7">
        <v>0.15</v>
      </c>
      <c r="H111" s="8">
        <v>45581</v>
      </c>
      <c r="I111" s="7">
        <v>553.29999999999995</v>
      </c>
      <c r="J111" s="9">
        <f t="shared" si="3"/>
        <v>7746.2455000000009</v>
      </c>
      <c r="N111" s="15"/>
    </row>
    <row r="112" spans="1:14" ht="17" customHeight="1" x14ac:dyDescent="0.35">
      <c r="A112" s="7" t="s">
        <v>162</v>
      </c>
      <c r="B112" s="7" t="s">
        <v>106</v>
      </c>
      <c r="C112" s="7" t="s">
        <v>24</v>
      </c>
      <c r="D112" s="7" t="s">
        <v>18</v>
      </c>
      <c r="E112" s="7">
        <v>980.18</v>
      </c>
      <c r="F112" s="7">
        <v>16</v>
      </c>
      <c r="G112" s="7">
        <v>0.1</v>
      </c>
      <c r="H112" s="8">
        <v>45582</v>
      </c>
      <c r="I112" s="7">
        <v>352.86</v>
      </c>
      <c r="J112" s="9">
        <f t="shared" si="3"/>
        <v>14114.591999999999</v>
      </c>
      <c r="N112" s="15"/>
    </row>
    <row r="113" spans="1:14" ht="17" customHeight="1" x14ac:dyDescent="0.35">
      <c r="A113" s="7" t="s">
        <v>163</v>
      </c>
      <c r="B113" s="7" t="s">
        <v>29</v>
      </c>
      <c r="C113" s="7" t="s">
        <v>17</v>
      </c>
      <c r="D113" s="7" t="s">
        <v>21</v>
      </c>
      <c r="E113" s="7">
        <v>697.57</v>
      </c>
      <c r="F113" s="7">
        <v>17</v>
      </c>
      <c r="G113" s="7">
        <v>0.1</v>
      </c>
      <c r="H113" s="8">
        <v>45584</v>
      </c>
      <c r="I113" s="7">
        <v>313.91000000000003</v>
      </c>
      <c r="J113" s="9">
        <f t="shared" si="3"/>
        <v>10672.821</v>
      </c>
      <c r="N113" s="15"/>
    </row>
    <row r="114" spans="1:14" ht="17" customHeight="1" x14ac:dyDescent="0.35">
      <c r="A114" s="7" t="s">
        <v>164</v>
      </c>
      <c r="B114" s="7" t="s">
        <v>125</v>
      </c>
      <c r="C114" s="7" t="s">
        <v>17</v>
      </c>
      <c r="D114" s="7" t="s">
        <v>33</v>
      </c>
      <c r="E114" s="7">
        <v>1193.6099999999999</v>
      </c>
      <c r="F114" s="7">
        <v>1</v>
      </c>
      <c r="G114" s="7">
        <v>0.15</v>
      </c>
      <c r="H114" s="8">
        <v>45584</v>
      </c>
      <c r="I114" s="7">
        <v>355.1</v>
      </c>
      <c r="J114" s="9">
        <f t="shared" si="3"/>
        <v>1014.5684999999999</v>
      </c>
      <c r="N114" s="15"/>
    </row>
    <row r="115" spans="1:14" ht="17" customHeight="1" x14ac:dyDescent="0.35">
      <c r="A115" s="7" t="s">
        <v>165</v>
      </c>
      <c r="B115" s="7" t="s">
        <v>44</v>
      </c>
      <c r="C115" s="7" t="s">
        <v>26</v>
      </c>
      <c r="D115" s="7" t="s">
        <v>27</v>
      </c>
      <c r="E115" s="7">
        <v>771.02</v>
      </c>
      <c r="F115" s="7">
        <v>1</v>
      </c>
      <c r="G115" s="7">
        <v>0</v>
      </c>
      <c r="H115" s="8">
        <v>45585</v>
      </c>
      <c r="I115" s="7">
        <v>192.76</v>
      </c>
      <c r="J115" s="9">
        <f t="shared" si="3"/>
        <v>771.02</v>
      </c>
      <c r="N115" s="15"/>
    </row>
    <row r="116" spans="1:14" ht="17" customHeight="1" x14ac:dyDescent="0.35">
      <c r="A116" s="7" t="s">
        <v>166</v>
      </c>
      <c r="B116" s="7" t="s">
        <v>122</v>
      </c>
      <c r="C116" s="7" t="s">
        <v>30</v>
      </c>
      <c r="D116" s="7" t="s">
        <v>21</v>
      </c>
      <c r="E116" s="7">
        <v>661.09</v>
      </c>
      <c r="F116" s="7">
        <v>1</v>
      </c>
      <c r="G116" s="7">
        <v>0.2</v>
      </c>
      <c r="H116" s="8">
        <v>45593</v>
      </c>
      <c r="I116" s="7">
        <v>264.44</v>
      </c>
      <c r="J116" s="9">
        <f t="shared" si="3"/>
        <v>528.87200000000007</v>
      </c>
      <c r="N116" s="15"/>
    </row>
    <row r="117" spans="1:14" ht="17" customHeight="1" x14ac:dyDescent="0.35">
      <c r="A117" s="7" t="s">
        <v>167</v>
      </c>
      <c r="B117" s="7" t="s">
        <v>74</v>
      </c>
      <c r="C117" s="7" t="s">
        <v>17</v>
      </c>
      <c r="D117" s="7" t="s">
        <v>27</v>
      </c>
      <c r="E117" s="7">
        <v>688.83</v>
      </c>
      <c r="F117" s="7">
        <v>15</v>
      </c>
      <c r="G117" s="7">
        <v>0</v>
      </c>
      <c r="H117" s="8">
        <v>45595</v>
      </c>
      <c r="I117" s="7">
        <v>172.21</v>
      </c>
      <c r="J117" s="9">
        <f t="shared" si="3"/>
        <v>10332.450000000001</v>
      </c>
      <c r="N117" s="15"/>
    </row>
    <row r="118" spans="1:14" ht="17" customHeight="1" x14ac:dyDescent="0.35">
      <c r="A118" s="7" t="s">
        <v>168</v>
      </c>
      <c r="B118" s="7" t="s">
        <v>35</v>
      </c>
      <c r="C118" s="7" t="s">
        <v>40</v>
      </c>
      <c r="D118" s="7" t="s">
        <v>18</v>
      </c>
      <c r="E118" s="7">
        <v>1249.0999999999999</v>
      </c>
      <c r="F118" s="7">
        <v>4</v>
      </c>
      <c r="G118" s="7">
        <v>0.05</v>
      </c>
      <c r="H118" s="8">
        <v>45597</v>
      </c>
      <c r="I118" s="7">
        <v>474.66</v>
      </c>
      <c r="J118" s="9">
        <f t="shared" si="3"/>
        <v>4746.579999999999</v>
      </c>
      <c r="N118" s="15"/>
    </row>
    <row r="119" spans="1:14" ht="17" customHeight="1" x14ac:dyDescent="0.35">
      <c r="A119" s="7" t="s">
        <v>169</v>
      </c>
      <c r="B119" s="7" t="s">
        <v>29</v>
      </c>
      <c r="C119" s="7" t="s">
        <v>24</v>
      </c>
      <c r="D119" s="7" t="s">
        <v>45</v>
      </c>
      <c r="E119" s="7">
        <v>1014.22</v>
      </c>
      <c r="F119" s="7">
        <v>14</v>
      </c>
      <c r="G119" s="7">
        <v>0.05</v>
      </c>
      <c r="H119" s="8">
        <v>45599</v>
      </c>
      <c r="I119" s="7">
        <v>433.58</v>
      </c>
      <c r="J119" s="9">
        <f t="shared" si="3"/>
        <v>13489.126</v>
      </c>
      <c r="N119" s="15"/>
    </row>
    <row r="120" spans="1:14" ht="17" customHeight="1" x14ac:dyDescent="0.35">
      <c r="A120" s="7" t="s">
        <v>170</v>
      </c>
      <c r="B120" s="7" t="s">
        <v>60</v>
      </c>
      <c r="C120" s="7" t="s">
        <v>24</v>
      </c>
      <c r="D120" s="7" t="s">
        <v>18</v>
      </c>
      <c r="E120" s="7">
        <v>1010.58</v>
      </c>
      <c r="F120" s="7">
        <v>2</v>
      </c>
      <c r="G120" s="7">
        <v>0.15</v>
      </c>
      <c r="H120" s="8">
        <v>45605</v>
      </c>
      <c r="I120" s="7">
        <v>343.6</v>
      </c>
      <c r="J120" s="9">
        <f t="shared" si="3"/>
        <v>1717.9860000000001</v>
      </c>
      <c r="N120" s="15"/>
    </row>
    <row r="121" spans="1:14" ht="17" customHeight="1" x14ac:dyDescent="0.35">
      <c r="A121" s="7" t="s">
        <v>171</v>
      </c>
      <c r="B121" s="7" t="s">
        <v>84</v>
      </c>
      <c r="C121" s="7" t="s">
        <v>30</v>
      </c>
      <c r="D121" s="7" t="s">
        <v>33</v>
      </c>
      <c r="E121" s="7">
        <v>957.29</v>
      </c>
      <c r="F121" s="7">
        <v>4</v>
      </c>
      <c r="G121" s="7">
        <v>0.05</v>
      </c>
      <c r="H121" s="8">
        <v>45605</v>
      </c>
      <c r="I121" s="7">
        <v>318.3</v>
      </c>
      <c r="J121" s="9">
        <f t="shared" si="3"/>
        <v>3637.7019999999998</v>
      </c>
      <c r="N121" s="15"/>
    </row>
    <row r="122" spans="1:14" ht="17" customHeight="1" x14ac:dyDescent="0.35">
      <c r="A122" s="7" t="s">
        <v>172</v>
      </c>
      <c r="B122" s="7" t="s">
        <v>55</v>
      </c>
      <c r="C122" s="7" t="s">
        <v>30</v>
      </c>
      <c r="D122" s="7" t="s">
        <v>33</v>
      </c>
      <c r="E122" s="7">
        <v>1077.92</v>
      </c>
      <c r="F122" s="7">
        <v>3</v>
      </c>
      <c r="G122" s="7">
        <v>0.05</v>
      </c>
      <c r="H122" s="8">
        <v>45608</v>
      </c>
      <c r="I122" s="7">
        <v>358.41</v>
      </c>
      <c r="J122" s="9">
        <f t="shared" si="3"/>
        <v>3072.0720000000001</v>
      </c>
      <c r="N122" s="15"/>
    </row>
    <row r="123" spans="1:14" ht="17" customHeight="1" x14ac:dyDescent="0.35">
      <c r="A123" s="7" t="s">
        <v>173</v>
      </c>
      <c r="B123" s="7" t="s">
        <v>66</v>
      </c>
      <c r="C123" s="7" t="s">
        <v>26</v>
      </c>
      <c r="D123" s="7" t="s">
        <v>21</v>
      </c>
      <c r="E123" s="7">
        <v>1163.01</v>
      </c>
      <c r="F123" s="7">
        <v>5</v>
      </c>
      <c r="G123" s="7">
        <v>0</v>
      </c>
      <c r="H123" s="8">
        <v>45611</v>
      </c>
      <c r="I123" s="7">
        <v>581.5</v>
      </c>
      <c r="J123" s="9">
        <f t="shared" si="3"/>
        <v>5815.05</v>
      </c>
      <c r="N123" s="15"/>
    </row>
    <row r="124" spans="1:14" ht="17" customHeight="1" x14ac:dyDescent="0.35">
      <c r="A124" s="7" t="s">
        <v>174</v>
      </c>
      <c r="B124" s="7" t="s">
        <v>55</v>
      </c>
      <c r="C124" s="7" t="s">
        <v>24</v>
      </c>
      <c r="D124" s="7" t="s">
        <v>45</v>
      </c>
      <c r="E124" s="7">
        <v>1014.56</v>
      </c>
      <c r="F124" s="7">
        <v>10</v>
      </c>
      <c r="G124" s="7">
        <v>0.1</v>
      </c>
      <c r="H124" s="8">
        <v>45612</v>
      </c>
      <c r="I124" s="7">
        <v>410.9</v>
      </c>
      <c r="J124" s="9">
        <f t="shared" si="3"/>
        <v>9131.0399999999991</v>
      </c>
      <c r="N124" s="15"/>
    </row>
    <row r="125" spans="1:14" ht="17" customHeight="1" x14ac:dyDescent="0.35">
      <c r="A125" s="7" t="s">
        <v>175</v>
      </c>
      <c r="B125" s="7" t="s">
        <v>23</v>
      </c>
      <c r="C125" s="7" t="s">
        <v>26</v>
      </c>
      <c r="D125" s="7" t="s">
        <v>27</v>
      </c>
      <c r="E125" s="7">
        <v>718.04</v>
      </c>
      <c r="F125" s="7">
        <v>14</v>
      </c>
      <c r="G125" s="7">
        <v>0</v>
      </c>
      <c r="H125" s="8">
        <v>45613</v>
      </c>
      <c r="I125" s="7">
        <v>179.51</v>
      </c>
      <c r="J125" s="9">
        <f t="shared" si="3"/>
        <v>10052.56</v>
      </c>
      <c r="N125" s="15"/>
    </row>
    <row r="126" spans="1:14" ht="17" customHeight="1" x14ac:dyDescent="0.35">
      <c r="A126" s="7" t="s">
        <v>176</v>
      </c>
      <c r="B126" s="7" t="s">
        <v>23</v>
      </c>
      <c r="C126" s="7" t="s">
        <v>40</v>
      </c>
      <c r="D126" s="7" t="s">
        <v>21</v>
      </c>
      <c r="E126" s="7">
        <v>1277.8499999999999</v>
      </c>
      <c r="F126" s="7">
        <v>18</v>
      </c>
      <c r="G126" s="7">
        <v>0.2</v>
      </c>
      <c r="H126" s="8">
        <v>45613</v>
      </c>
      <c r="I126" s="7">
        <v>511.14</v>
      </c>
      <c r="J126" s="9">
        <f t="shared" si="3"/>
        <v>18401.04</v>
      </c>
      <c r="N126" s="15"/>
    </row>
    <row r="127" spans="1:14" ht="17" customHeight="1" x14ac:dyDescent="0.35">
      <c r="A127" s="7" t="s">
        <v>177</v>
      </c>
      <c r="B127" s="7" t="s">
        <v>29</v>
      </c>
      <c r="C127" s="7" t="s">
        <v>30</v>
      </c>
      <c r="D127" s="7" t="s">
        <v>27</v>
      </c>
      <c r="E127" s="7">
        <v>706.73</v>
      </c>
      <c r="F127" s="7">
        <v>1</v>
      </c>
      <c r="G127" s="7">
        <v>0.15</v>
      </c>
      <c r="H127" s="8">
        <v>45613</v>
      </c>
      <c r="I127" s="7">
        <v>150.18</v>
      </c>
      <c r="J127" s="9">
        <f t="shared" si="3"/>
        <v>600.72050000000002</v>
      </c>
      <c r="N127" s="15"/>
    </row>
    <row r="128" spans="1:14" ht="17" customHeight="1" x14ac:dyDescent="0.35">
      <c r="A128" s="7" t="s">
        <v>178</v>
      </c>
      <c r="B128" s="7" t="s">
        <v>66</v>
      </c>
      <c r="C128" s="7" t="s">
        <v>24</v>
      </c>
      <c r="D128" s="7" t="s">
        <v>27</v>
      </c>
      <c r="E128" s="7">
        <v>1410.59</v>
      </c>
      <c r="F128" s="7">
        <v>15</v>
      </c>
      <c r="G128" s="7">
        <v>0</v>
      </c>
      <c r="H128" s="8">
        <v>45615</v>
      </c>
      <c r="I128" s="7">
        <v>352.65</v>
      </c>
      <c r="J128" s="9">
        <f t="shared" si="3"/>
        <v>21158.85</v>
      </c>
      <c r="N128" s="15"/>
    </row>
    <row r="129" spans="1:14" ht="17" customHeight="1" x14ac:dyDescent="0.35">
      <c r="A129" s="7" t="s">
        <v>179</v>
      </c>
      <c r="B129" s="7" t="s">
        <v>86</v>
      </c>
      <c r="C129" s="7" t="s">
        <v>26</v>
      </c>
      <c r="D129" s="7" t="s">
        <v>33</v>
      </c>
      <c r="E129" s="7">
        <v>1350.33</v>
      </c>
      <c r="F129" s="7">
        <v>10</v>
      </c>
      <c r="G129" s="7">
        <v>0</v>
      </c>
      <c r="H129" s="8">
        <v>45615</v>
      </c>
      <c r="I129" s="7">
        <v>472.62</v>
      </c>
      <c r="J129" s="9">
        <f t="shared" si="3"/>
        <v>13503.3</v>
      </c>
      <c r="N129" s="15"/>
    </row>
    <row r="130" spans="1:14" ht="17" customHeight="1" x14ac:dyDescent="0.35">
      <c r="A130" s="7" t="s">
        <v>180</v>
      </c>
      <c r="B130" s="7" t="s">
        <v>55</v>
      </c>
      <c r="C130" s="7" t="s">
        <v>24</v>
      </c>
      <c r="D130" s="7" t="s">
        <v>27</v>
      </c>
      <c r="E130" s="7">
        <v>919.18</v>
      </c>
      <c r="F130" s="7">
        <v>4</v>
      </c>
      <c r="G130" s="7">
        <v>0.15</v>
      </c>
      <c r="H130" s="8">
        <v>45615</v>
      </c>
      <c r="I130" s="7">
        <v>195.33</v>
      </c>
      <c r="J130" s="9">
        <f t="shared" si="3"/>
        <v>3125.2119999999995</v>
      </c>
      <c r="N130" s="15"/>
    </row>
    <row r="131" spans="1:14" ht="17" customHeight="1" x14ac:dyDescent="0.35">
      <c r="A131" s="7" t="s">
        <v>181</v>
      </c>
      <c r="B131" s="7" t="s">
        <v>29</v>
      </c>
      <c r="C131" s="7" t="s">
        <v>17</v>
      </c>
      <c r="D131" s="7" t="s">
        <v>27</v>
      </c>
      <c r="E131" s="7">
        <v>258.51</v>
      </c>
      <c r="F131" s="7">
        <v>19</v>
      </c>
      <c r="G131" s="7">
        <v>0</v>
      </c>
      <c r="H131" s="8">
        <v>45616</v>
      </c>
      <c r="I131" s="7">
        <v>64.63</v>
      </c>
      <c r="J131" s="9">
        <f t="shared" ref="J131:J194" si="4">(E131 * F131) * (1 - G131)</f>
        <v>4911.6899999999996</v>
      </c>
      <c r="N131" s="15"/>
    </row>
    <row r="132" spans="1:14" ht="17" customHeight="1" x14ac:dyDescent="0.35">
      <c r="A132" s="7" t="s">
        <v>182</v>
      </c>
      <c r="B132" s="7" t="s">
        <v>86</v>
      </c>
      <c r="C132" s="7" t="s">
        <v>24</v>
      </c>
      <c r="D132" s="7" t="s">
        <v>18</v>
      </c>
      <c r="E132" s="7">
        <v>1213.48</v>
      </c>
      <c r="F132" s="7">
        <v>5</v>
      </c>
      <c r="G132" s="7">
        <v>0.05</v>
      </c>
      <c r="H132" s="8">
        <v>45616</v>
      </c>
      <c r="I132" s="7">
        <v>461.12</v>
      </c>
      <c r="J132" s="9">
        <f t="shared" si="4"/>
        <v>5764.03</v>
      </c>
      <c r="N132" s="15"/>
    </row>
    <row r="133" spans="1:14" ht="17" customHeight="1" x14ac:dyDescent="0.35">
      <c r="A133" s="7" t="s">
        <v>183</v>
      </c>
      <c r="B133" s="7" t="s">
        <v>44</v>
      </c>
      <c r="C133" s="7" t="s">
        <v>40</v>
      </c>
      <c r="D133" s="7" t="s">
        <v>18</v>
      </c>
      <c r="E133" s="7">
        <v>1150.28</v>
      </c>
      <c r="F133" s="7">
        <v>8</v>
      </c>
      <c r="G133" s="7">
        <v>0.05</v>
      </c>
      <c r="H133" s="8">
        <v>45622</v>
      </c>
      <c r="I133" s="7">
        <v>437.11</v>
      </c>
      <c r="J133" s="9">
        <f t="shared" si="4"/>
        <v>8742.1279999999988</v>
      </c>
      <c r="N133" s="15"/>
    </row>
    <row r="134" spans="1:14" ht="17" customHeight="1" x14ac:dyDescent="0.35">
      <c r="A134" s="7" t="s">
        <v>184</v>
      </c>
      <c r="B134" s="7" t="s">
        <v>125</v>
      </c>
      <c r="C134" s="7" t="s">
        <v>26</v>
      </c>
      <c r="D134" s="7" t="s">
        <v>33</v>
      </c>
      <c r="E134" s="7">
        <v>853.86</v>
      </c>
      <c r="F134" s="7">
        <v>8</v>
      </c>
      <c r="G134" s="7">
        <v>0.1</v>
      </c>
      <c r="H134" s="8">
        <v>45622</v>
      </c>
      <c r="I134" s="7">
        <v>268.97000000000003</v>
      </c>
      <c r="J134" s="9">
        <f t="shared" si="4"/>
        <v>6147.7920000000004</v>
      </c>
      <c r="N134" s="15"/>
    </row>
    <row r="135" spans="1:14" ht="17" customHeight="1" x14ac:dyDescent="0.35">
      <c r="A135" s="7" t="s">
        <v>185</v>
      </c>
      <c r="B135" s="7" t="s">
        <v>55</v>
      </c>
      <c r="C135" s="7" t="s">
        <v>26</v>
      </c>
      <c r="D135" s="7" t="s">
        <v>27</v>
      </c>
      <c r="E135" s="7">
        <v>1061.04</v>
      </c>
      <c r="F135" s="7">
        <v>1</v>
      </c>
      <c r="G135" s="7">
        <v>0</v>
      </c>
      <c r="H135" s="8">
        <v>45624</v>
      </c>
      <c r="I135" s="7">
        <v>265.26</v>
      </c>
      <c r="J135" s="9">
        <f t="shared" si="4"/>
        <v>1061.04</v>
      </c>
      <c r="N135" s="15"/>
    </row>
    <row r="136" spans="1:14" ht="17" customHeight="1" x14ac:dyDescent="0.35">
      <c r="A136" s="7" t="s">
        <v>186</v>
      </c>
      <c r="B136" s="7" t="s">
        <v>52</v>
      </c>
      <c r="C136" s="7" t="s">
        <v>17</v>
      </c>
      <c r="D136" s="7" t="s">
        <v>27</v>
      </c>
      <c r="E136" s="7">
        <v>894.55</v>
      </c>
      <c r="F136" s="7">
        <v>19</v>
      </c>
      <c r="G136" s="7">
        <v>0.2</v>
      </c>
      <c r="H136" s="8">
        <v>45625</v>
      </c>
      <c r="I136" s="7">
        <v>178.91</v>
      </c>
      <c r="J136" s="9">
        <f t="shared" si="4"/>
        <v>13597.160000000002</v>
      </c>
      <c r="N136" s="15"/>
    </row>
    <row r="137" spans="1:14" ht="17" customHeight="1" x14ac:dyDescent="0.35">
      <c r="A137" s="7" t="s">
        <v>187</v>
      </c>
      <c r="B137" s="7" t="s">
        <v>44</v>
      </c>
      <c r="C137" s="7" t="s">
        <v>30</v>
      </c>
      <c r="D137" s="7" t="s">
        <v>45</v>
      </c>
      <c r="E137" s="7">
        <v>833.91</v>
      </c>
      <c r="F137" s="7">
        <v>3</v>
      </c>
      <c r="G137" s="7">
        <v>0.05</v>
      </c>
      <c r="H137" s="8">
        <v>45626</v>
      </c>
      <c r="I137" s="7">
        <v>356.5</v>
      </c>
      <c r="J137" s="9">
        <f t="shared" si="4"/>
        <v>2376.6435000000001</v>
      </c>
      <c r="N137" s="15"/>
    </row>
    <row r="138" spans="1:14" ht="17" customHeight="1" x14ac:dyDescent="0.35">
      <c r="A138" s="7" t="s">
        <v>188</v>
      </c>
      <c r="B138" s="7" t="s">
        <v>125</v>
      </c>
      <c r="C138" s="7" t="s">
        <v>17</v>
      </c>
      <c r="D138" s="7" t="s">
        <v>33</v>
      </c>
      <c r="E138" s="7">
        <v>820.19</v>
      </c>
      <c r="F138" s="7">
        <v>4</v>
      </c>
      <c r="G138" s="7">
        <v>0.2</v>
      </c>
      <c r="H138" s="8">
        <v>45630</v>
      </c>
      <c r="I138" s="7">
        <v>229.65</v>
      </c>
      <c r="J138" s="9">
        <f t="shared" si="4"/>
        <v>2624.6080000000002</v>
      </c>
      <c r="N138" s="15"/>
    </row>
    <row r="139" spans="1:14" ht="17" customHeight="1" x14ac:dyDescent="0.35">
      <c r="A139" s="7" t="s">
        <v>189</v>
      </c>
      <c r="B139" s="7" t="s">
        <v>44</v>
      </c>
      <c r="C139" s="7" t="s">
        <v>40</v>
      </c>
      <c r="D139" s="7" t="s">
        <v>27</v>
      </c>
      <c r="E139" s="7">
        <v>511.74</v>
      </c>
      <c r="F139" s="7">
        <v>8</v>
      </c>
      <c r="G139" s="7">
        <v>0.05</v>
      </c>
      <c r="H139" s="8">
        <v>45631</v>
      </c>
      <c r="I139" s="7">
        <v>121.54</v>
      </c>
      <c r="J139" s="9">
        <f t="shared" si="4"/>
        <v>3889.2239999999997</v>
      </c>
      <c r="N139" s="15"/>
    </row>
    <row r="140" spans="1:14" ht="17" customHeight="1" x14ac:dyDescent="0.35">
      <c r="A140" s="7" t="s">
        <v>190</v>
      </c>
      <c r="B140" s="7" t="s">
        <v>86</v>
      </c>
      <c r="C140" s="7" t="s">
        <v>26</v>
      </c>
      <c r="D140" s="7" t="s">
        <v>33</v>
      </c>
      <c r="E140" s="7">
        <v>806.03</v>
      </c>
      <c r="F140" s="7">
        <v>19</v>
      </c>
      <c r="G140" s="7">
        <v>0.05</v>
      </c>
      <c r="H140" s="8">
        <v>45638</v>
      </c>
      <c r="I140" s="7">
        <v>268</v>
      </c>
      <c r="J140" s="9">
        <f t="shared" si="4"/>
        <v>14548.841499999999</v>
      </c>
      <c r="N140" s="15"/>
    </row>
    <row r="141" spans="1:14" ht="17" customHeight="1" x14ac:dyDescent="0.35">
      <c r="A141" s="7" t="s">
        <v>191</v>
      </c>
      <c r="B141" s="7" t="s">
        <v>32</v>
      </c>
      <c r="C141" s="7" t="s">
        <v>40</v>
      </c>
      <c r="D141" s="7" t="s">
        <v>33</v>
      </c>
      <c r="E141" s="7">
        <v>1432.47</v>
      </c>
      <c r="F141" s="7">
        <v>16</v>
      </c>
      <c r="G141" s="7">
        <v>0.15</v>
      </c>
      <c r="H141" s="8">
        <v>45640</v>
      </c>
      <c r="I141" s="7">
        <v>426.16</v>
      </c>
      <c r="J141" s="9">
        <f t="shared" si="4"/>
        <v>19481.592000000001</v>
      </c>
      <c r="N141" s="15"/>
    </row>
    <row r="142" spans="1:14" ht="17" customHeight="1" x14ac:dyDescent="0.35">
      <c r="A142" s="7" t="s">
        <v>192</v>
      </c>
      <c r="B142" s="7" t="s">
        <v>35</v>
      </c>
      <c r="C142" s="7" t="s">
        <v>40</v>
      </c>
      <c r="D142" s="7" t="s">
        <v>27</v>
      </c>
      <c r="E142" s="7">
        <v>1488.58</v>
      </c>
      <c r="F142" s="7">
        <v>10</v>
      </c>
      <c r="G142" s="7">
        <v>0.15</v>
      </c>
      <c r="H142" s="8">
        <v>45640</v>
      </c>
      <c r="I142" s="7">
        <v>316.32</v>
      </c>
      <c r="J142" s="9">
        <f t="shared" si="4"/>
        <v>12652.929999999998</v>
      </c>
      <c r="N142" s="15"/>
    </row>
    <row r="143" spans="1:14" ht="17" customHeight="1" x14ac:dyDescent="0.35">
      <c r="A143" s="7" t="s">
        <v>193</v>
      </c>
      <c r="B143" s="7" t="s">
        <v>106</v>
      </c>
      <c r="C143" s="7" t="s">
        <v>24</v>
      </c>
      <c r="D143" s="7" t="s">
        <v>18</v>
      </c>
      <c r="E143" s="7">
        <v>1231.26</v>
      </c>
      <c r="F143" s="7">
        <v>9</v>
      </c>
      <c r="G143" s="7">
        <v>0</v>
      </c>
      <c r="H143" s="8">
        <v>45646</v>
      </c>
      <c r="I143" s="7">
        <v>492.5</v>
      </c>
      <c r="J143" s="9">
        <f t="shared" si="4"/>
        <v>11081.34</v>
      </c>
      <c r="N143" s="15"/>
    </row>
    <row r="144" spans="1:14" ht="17" customHeight="1" x14ac:dyDescent="0.35">
      <c r="A144" s="7" t="s">
        <v>194</v>
      </c>
      <c r="B144" s="7" t="s">
        <v>52</v>
      </c>
      <c r="C144" s="7" t="s">
        <v>17</v>
      </c>
      <c r="D144" s="7" t="s">
        <v>27</v>
      </c>
      <c r="E144" s="7">
        <v>1161.67</v>
      </c>
      <c r="F144" s="7">
        <v>19</v>
      </c>
      <c r="G144" s="7">
        <v>0.2</v>
      </c>
      <c r="H144" s="8">
        <v>45647</v>
      </c>
      <c r="I144" s="7">
        <v>232.33</v>
      </c>
      <c r="J144" s="9">
        <f t="shared" si="4"/>
        <v>17657.384000000002</v>
      </c>
      <c r="N144" s="15"/>
    </row>
    <row r="145" spans="1:14" ht="17" customHeight="1" x14ac:dyDescent="0.35">
      <c r="A145" s="7" t="s">
        <v>195</v>
      </c>
      <c r="B145" s="7" t="s">
        <v>55</v>
      </c>
      <c r="C145" s="7" t="s">
        <v>40</v>
      </c>
      <c r="D145" s="7" t="s">
        <v>45</v>
      </c>
      <c r="E145" s="7">
        <v>388.23</v>
      </c>
      <c r="F145" s="7">
        <v>16</v>
      </c>
      <c r="G145" s="7">
        <v>0.05</v>
      </c>
      <c r="H145" s="8">
        <v>45650</v>
      </c>
      <c r="I145" s="7">
        <v>165.97</v>
      </c>
      <c r="J145" s="9">
        <f t="shared" si="4"/>
        <v>5901.0959999999995</v>
      </c>
      <c r="N145" s="15"/>
    </row>
    <row r="146" spans="1:14" ht="17" customHeight="1" x14ac:dyDescent="0.35">
      <c r="A146" s="7" t="s">
        <v>196</v>
      </c>
      <c r="B146" s="7" t="s">
        <v>37</v>
      </c>
      <c r="C146" s="7" t="s">
        <v>30</v>
      </c>
      <c r="D146" s="7" t="s">
        <v>21</v>
      </c>
      <c r="E146" s="7">
        <v>1589.42</v>
      </c>
      <c r="F146" s="7">
        <v>6</v>
      </c>
      <c r="G146" s="7">
        <v>0.15</v>
      </c>
      <c r="H146" s="8">
        <v>45651</v>
      </c>
      <c r="I146" s="7">
        <v>675.5</v>
      </c>
      <c r="J146" s="9">
        <f t="shared" si="4"/>
        <v>8106.0420000000004</v>
      </c>
      <c r="N146" s="15"/>
    </row>
    <row r="147" spans="1:14" ht="17" customHeight="1" x14ac:dyDescent="0.35">
      <c r="A147" s="7" t="s">
        <v>197</v>
      </c>
      <c r="B147" s="7" t="s">
        <v>125</v>
      </c>
      <c r="C147" s="7" t="s">
        <v>30</v>
      </c>
      <c r="D147" s="7" t="s">
        <v>21</v>
      </c>
      <c r="E147" s="7">
        <v>336.66</v>
      </c>
      <c r="F147" s="7">
        <v>13</v>
      </c>
      <c r="G147" s="7">
        <v>0.2</v>
      </c>
      <c r="H147" s="8">
        <v>45651</v>
      </c>
      <c r="I147" s="7">
        <v>134.66</v>
      </c>
      <c r="J147" s="9">
        <f t="shared" si="4"/>
        <v>3501.2640000000001</v>
      </c>
      <c r="N147" s="15"/>
    </row>
    <row r="148" spans="1:14" ht="17" customHeight="1" x14ac:dyDescent="0.35">
      <c r="A148" s="7" t="s">
        <v>198</v>
      </c>
      <c r="B148" s="7" t="s">
        <v>29</v>
      </c>
      <c r="C148" s="7" t="s">
        <v>17</v>
      </c>
      <c r="D148" s="7" t="s">
        <v>18</v>
      </c>
      <c r="E148" s="7">
        <v>1353.79</v>
      </c>
      <c r="F148" s="7">
        <v>14</v>
      </c>
      <c r="G148" s="7">
        <v>0.1</v>
      </c>
      <c r="H148" s="8">
        <v>45656</v>
      </c>
      <c r="I148" s="7">
        <v>487.36</v>
      </c>
      <c r="J148" s="9">
        <f t="shared" si="4"/>
        <v>17057.753999999997</v>
      </c>
      <c r="N148" s="15"/>
    </row>
    <row r="149" spans="1:14" ht="17" customHeight="1" x14ac:dyDescent="0.35">
      <c r="A149" s="7" t="s">
        <v>199</v>
      </c>
      <c r="B149" s="7" t="s">
        <v>122</v>
      </c>
      <c r="C149" s="7" t="s">
        <v>40</v>
      </c>
      <c r="D149" s="7" t="s">
        <v>21</v>
      </c>
      <c r="E149" s="7">
        <v>662.61</v>
      </c>
      <c r="F149" s="7">
        <v>11</v>
      </c>
      <c r="G149" s="7">
        <v>0.05</v>
      </c>
      <c r="H149" s="8">
        <v>45658</v>
      </c>
      <c r="I149" s="7">
        <v>314.74</v>
      </c>
      <c r="J149" s="9">
        <f t="shared" si="4"/>
        <v>6924.2744999999995</v>
      </c>
      <c r="N149" s="15"/>
    </row>
    <row r="150" spans="1:14" ht="17" customHeight="1" x14ac:dyDescent="0.35">
      <c r="A150" s="7" t="s">
        <v>200</v>
      </c>
      <c r="B150" s="7" t="s">
        <v>60</v>
      </c>
      <c r="C150" s="7" t="s">
        <v>30</v>
      </c>
      <c r="D150" s="7" t="s">
        <v>45</v>
      </c>
      <c r="E150" s="7">
        <v>309.42</v>
      </c>
      <c r="F150" s="7">
        <v>1</v>
      </c>
      <c r="G150" s="7">
        <v>0.2</v>
      </c>
      <c r="H150" s="8">
        <v>45658</v>
      </c>
      <c r="I150" s="7">
        <v>111.39</v>
      </c>
      <c r="J150" s="9">
        <f t="shared" si="4"/>
        <v>247.53600000000003</v>
      </c>
      <c r="N150" s="15"/>
    </row>
    <row r="151" spans="1:14" ht="17" customHeight="1" x14ac:dyDescent="0.35">
      <c r="A151" s="7" t="s">
        <v>201</v>
      </c>
      <c r="B151" s="7" t="s">
        <v>35</v>
      </c>
      <c r="C151" s="7" t="s">
        <v>30</v>
      </c>
      <c r="D151" s="7" t="s">
        <v>18</v>
      </c>
      <c r="E151" s="7">
        <v>884.63</v>
      </c>
      <c r="F151" s="7">
        <v>18</v>
      </c>
      <c r="G151" s="7">
        <v>0.1</v>
      </c>
      <c r="H151" s="8">
        <v>45659</v>
      </c>
      <c r="I151" s="7">
        <v>318.47000000000003</v>
      </c>
      <c r="J151" s="9">
        <f t="shared" si="4"/>
        <v>14331.006000000001</v>
      </c>
      <c r="N151" s="15"/>
    </row>
    <row r="152" spans="1:14" ht="17" customHeight="1" x14ac:dyDescent="0.35">
      <c r="A152" s="7" t="s">
        <v>202</v>
      </c>
      <c r="B152" s="7" t="s">
        <v>29</v>
      </c>
      <c r="C152" s="7" t="s">
        <v>40</v>
      </c>
      <c r="D152" s="7" t="s">
        <v>45</v>
      </c>
      <c r="E152" s="7">
        <v>745.05</v>
      </c>
      <c r="F152" s="7">
        <v>10</v>
      </c>
      <c r="G152" s="7">
        <v>0.1</v>
      </c>
      <c r="H152" s="8">
        <v>45660</v>
      </c>
      <c r="I152" s="7">
        <v>301.75</v>
      </c>
      <c r="J152" s="9">
        <f t="shared" si="4"/>
        <v>6705.45</v>
      </c>
      <c r="N152" s="15"/>
    </row>
    <row r="153" spans="1:14" ht="17" customHeight="1" x14ac:dyDescent="0.35">
      <c r="A153" s="7" t="s">
        <v>203</v>
      </c>
      <c r="B153" s="7" t="s">
        <v>23</v>
      </c>
      <c r="C153" s="7" t="s">
        <v>26</v>
      </c>
      <c r="D153" s="7" t="s">
        <v>21</v>
      </c>
      <c r="E153" s="7">
        <v>870.23</v>
      </c>
      <c r="F153" s="7">
        <v>5</v>
      </c>
      <c r="G153" s="7">
        <v>0.05</v>
      </c>
      <c r="H153" s="8">
        <v>45660</v>
      </c>
      <c r="I153" s="7">
        <v>413.36</v>
      </c>
      <c r="J153" s="9">
        <f t="shared" si="4"/>
        <v>4133.5924999999997</v>
      </c>
      <c r="N153" s="15"/>
    </row>
    <row r="154" spans="1:14" ht="17" customHeight="1" x14ac:dyDescent="0.35">
      <c r="A154" s="7" t="s">
        <v>204</v>
      </c>
      <c r="B154" s="7" t="s">
        <v>35</v>
      </c>
      <c r="C154" s="7" t="s">
        <v>17</v>
      </c>
      <c r="D154" s="7" t="s">
        <v>33</v>
      </c>
      <c r="E154" s="7">
        <v>862.19</v>
      </c>
      <c r="F154" s="7">
        <v>18</v>
      </c>
      <c r="G154" s="7">
        <v>0.05</v>
      </c>
      <c r="H154" s="8">
        <v>45663</v>
      </c>
      <c r="I154" s="7">
        <v>286.68</v>
      </c>
      <c r="J154" s="9">
        <f t="shared" si="4"/>
        <v>14743.449000000001</v>
      </c>
      <c r="N154" s="15"/>
    </row>
    <row r="155" spans="1:14" ht="17" customHeight="1" x14ac:dyDescent="0.35">
      <c r="A155" s="7" t="s">
        <v>205</v>
      </c>
      <c r="B155" s="7" t="s">
        <v>84</v>
      </c>
      <c r="C155" s="7" t="s">
        <v>30</v>
      </c>
      <c r="D155" s="7" t="s">
        <v>21</v>
      </c>
      <c r="E155" s="7">
        <v>1171.18</v>
      </c>
      <c r="F155" s="7">
        <v>19</v>
      </c>
      <c r="G155" s="7">
        <v>0.05</v>
      </c>
      <c r="H155" s="8">
        <v>45667</v>
      </c>
      <c r="I155" s="7">
        <v>556.30999999999995</v>
      </c>
      <c r="J155" s="9">
        <f t="shared" si="4"/>
        <v>21139.798999999999</v>
      </c>
      <c r="N155" s="15"/>
    </row>
    <row r="156" spans="1:14" ht="17" customHeight="1" x14ac:dyDescent="0.35">
      <c r="A156" s="7" t="s">
        <v>206</v>
      </c>
      <c r="B156" s="7" t="s">
        <v>20</v>
      </c>
      <c r="C156" s="7" t="s">
        <v>26</v>
      </c>
      <c r="D156" s="7" t="s">
        <v>33</v>
      </c>
      <c r="E156" s="7">
        <v>1054.56</v>
      </c>
      <c r="F156" s="7">
        <v>11</v>
      </c>
      <c r="G156" s="7">
        <v>0.1</v>
      </c>
      <c r="H156" s="8">
        <v>45669</v>
      </c>
      <c r="I156" s="7">
        <v>332.19</v>
      </c>
      <c r="J156" s="9">
        <f t="shared" si="4"/>
        <v>10440.144</v>
      </c>
      <c r="N156" s="15"/>
    </row>
    <row r="157" spans="1:14" ht="17" customHeight="1" x14ac:dyDescent="0.35">
      <c r="A157" s="7" t="s">
        <v>207</v>
      </c>
      <c r="B157" s="7" t="s">
        <v>29</v>
      </c>
      <c r="C157" s="7" t="s">
        <v>30</v>
      </c>
      <c r="D157" s="7" t="s">
        <v>27</v>
      </c>
      <c r="E157" s="7">
        <v>1681.21</v>
      </c>
      <c r="F157" s="7">
        <v>5</v>
      </c>
      <c r="G157" s="7">
        <v>0.2</v>
      </c>
      <c r="H157" s="8">
        <v>45670</v>
      </c>
      <c r="I157" s="7">
        <v>336.24</v>
      </c>
      <c r="J157" s="9">
        <f t="shared" si="4"/>
        <v>6724.84</v>
      </c>
      <c r="N157" s="15"/>
    </row>
    <row r="158" spans="1:14" ht="17" customHeight="1" x14ac:dyDescent="0.35">
      <c r="A158" s="7" t="s">
        <v>208</v>
      </c>
      <c r="B158" s="7" t="s">
        <v>42</v>
      </c>
      <c r="C158" s="7" t="s">
        <v>17</v>
      </c>
      <c r="D158" s="7" t="s">
        <v>21</v>
      </c>
      <c r="E158" s="7">
        <v>379.77</v>
      </c>
      <c r="F158" s="7">
        <v>9</v>
      </c>
      <c r="G158" s="7">
        <v>0.05</v>
      </c>
      <c r="H158" s="8">
        <v>45673</v>
      </c>
      <c r="I158" s="7">
        <v>180.39</v>
      </c>
      <c r="J158" s="9">
        <f t="shared" si="4"/>
        <v>3247.0334999999995</v>
      </c>
      <c r="N158" s="15"/>
    </row>
    <row r="159" spans="1:14" ht="17" customHeight="1" x14ac:dyDescent="0.35">
      <c r="A159" s="7" t="s">
        <v>209</v>
      </c>
      <c r="B159" s="7" t="s">
        <v>55</v>
      </c>
      <c r="C159" s="7" t="s">
        <v>40</v>
      </c>
      <c r="D159" s="7" t="s">
        <v>21</v>
      </c>
      <c r="E159" s="7">
        <v>1076.33</v>
      </c>
      <c r="F159" s="7">
        <v>2</v>
      </c>
      <c r="G159" s="7">
        <v>0.1</v>
      </c>
      <c r="H159" s="8">
        <v>45674</v>
      </c>
      <c r="I159" s="7">
        <v>484.35</v>
      </c>
      <c r="J159" s="9">
        <f t="shared" si="4"/>
        <v>1937.394</v>
      </c>
      <c r="N159" s="15"/>
    </row>
    <row r="160" spans="1:14" ht="17" customHeight="1" x14ac:dyDescent="0.35">
      <c r="A160" s="7" t="s">
        <v>210</v>
      </c>
      <c r="B160" s="7" t="s">
        <v>37</v>
      </c>
      <c r="C160" s="7" t="s">
        <v>40</v>
      </c>
      <c r="D160" s="7" t="s">
        <v>45</v>
      </c>
      <c r="E160" s="7">
        <v>1250.71</v>
      </c>
      <c r="F160" s="7">
        <v>7</v>
      </c>
      <c r="G160" s="7">
        <v>0</v>
      </c>
      <c r="H160" s="8">
        <v>45674</v>
      </c>
      <c r="I160" s="7">
        <v>562.82000000000005</v>
      </c>
      <c r="J160" s="9">
        <f t="shared" si="4"/>
        <v>8754.9700000000012</v>
      </c>
      <c r="N160" s="15"/>
    </row>
    <row r="161" spans="1:14" ht="17" customHeight="1" x14ac:dyDescent="0.35">
      <c r="A161" s="7" t="s">
        <v>211</v>
      </c>
      <c r="B161" s="7" t="s">
        <v>23</v>
      </c>
      <c r="C161" s="7" t="s">
        <v>26</v>
      </c>
      <c r="D161" s="7" t="s">
        <v>21</v>
      </c>
      <c r="E161" s="7">
        <v>1118.3399999999999</v>
      </c>
      <c r="F161" s="7">
        <v>6</v>
      </c>
      <c r="G161" s="7">
        <v>0.2</v>
      </c>
      <c r="H161" s="8">
        <v>45674</v>
      </c>
      <c r="I161" s="7">
        <v>447.34</v>
      </c>
      <c r="J161" s="9">
        <f t="shared" si="4"/>
        <v>5368.0319999999992</v>
      </c>
      <c r="N161" s="15"/>
    </row>
    <row r="162" spans="1:14" ht="17" customHeight="1" x14ac:dyDescent="0.35">
      <c r="A162" s="7" t="s">
        <v>212</v>
      </c>
      <c r="B162" s="7" t="s">
        <v>71</v>
      </c>
      <c r="C162" s="7" t="s">
        <v>30</v>
      </c>
      <c r="D162" s="7" t="s">
        <v>21</v>
      </c>
      <c r="E162" s="7">
        <v>1622.62</v>
      </c>
      <c r="F162" s="7">
        <v>12</v>
      </c>
      <c r="G162" s="7">
        <v>0.2</v>
      </c>
      <c r="H162" s="8">
        <v>45677</v>
      </c>
      <c r="I162" s="7">
        <v>649.04999999999995</v>
      </c>
      <c r="J162" s="9">
        <f t="shared" si="4"/>
        <v>15577.152</v>
      </c>
      <c r="N162" s="15"/>
    </row>
    <row r="163" spans="1:14" ht="17" customHeight="1" x14ac:dyDescent="0.35">
      <c r="A163" s="7" t="s">
        <v>213</v>
      </c>
      <c r="B163" s="7" t="s">
        <v>60</v>
      </c>
      <c r="C163" s="7" t="s">
        <v>30</v>
      </c>
      <c r="D163" s="7" t="s">
        <v>18</v>
      </c>
      <c r="E163" s="7">
        <v>640.64</v>
      </c>
      <c r="F163" s="7">
        <v>11</v>
      </c>
      <c r="G163" s="7">
        <v>0.2</v>
      </c>
      <c r="H163" s="8">
        <v>45678</v>
      </c>
      <c r="I163" s="7">
        <v>205</v>
      </c>
      <c r="J163" s="9">
        <f t="shared" si="4"/>
        <v>5637.6320000000005</v>
      </c>
      <c r="N163" s="15"/>
    </row>
    <row r="164" spans="1:14" ht="17" customHeight="1" x14ac:dyDescent="0.35">
      <c r="A164" s="7" t="s">
        <v>214</v>
      </c>
      <c r="B164" s="7" t="s">
        <v>52</v>
      </c>
      <c r="C164" s="7" t="s">
        <v>17</v>
      </c>
      <c r="D164" s="7" t="s">
        <v>21</v>
      </c>
      <c r="E164" s="7">
        <v>585.16</v>
      </c>
      <c r="F164" s="7">
        <v>17</v>
      </c>
      <c r="G164" s="7">
        <v>0.1</v>
      </c>
      <c r="H164" s="8">
        <v>45684</v>
      </c>
      <c r="I164" s="7">
        <v>263.32</v>
      </c>
      <c r="J164" s="9">
        <f t="shared" si="4"/>
        <v>8952.9480000000003</v>
      </c>
      <c r="N164" s="15"/>
    </row>
    <row r="165" spans="1:14" ht="17" customHeight="1" x14ac:dyDescent="0.35">
      <c r="A165" s="7" t="s">
        <v>215</v>
      </c>
      <c r="B165" s="7" t="s">
        <v>37</v>
      </c>
      <c r="C165" s="7" t="s">
        <v>24</v>
      </c>
      <c r="D165" s="7" t="s">
        <v>21</v>
      </c>
      <c r="E165" s="7">
        <v>1109.98</v>
      </c>
      <c r="F165" s="7">
        <v>5</v>
      </c>
      <c r="G165" s="7">
        <v>0.2</v>
      </c>
      <c r="H165" s="8">
        <v>45690</v>
      </c>
      <c r="I165" s="7">
        <v>443.99</v>
      </c>
      <c r="J165" s="9">
        <f t="shared" si="4"/>
        <v>4439.92</v>
      </c>
      <c r="N165" s="15"/>
    </row>
    <row r="166" spans="1:14" ht="17" customHeight="1" x14ac:dyDescent="0.35">
      <c r="A166" s="7" t="s">
        <v>216</v>
      </c>
      <c r="B166" s="7" t="s">
        <v>55</v>
      </c>
      <c r="C166" s="7" t="s">
        <v>24</v>
      </c>
      <c r="D166" s="7" t="s">
        <v>18</v>
      </c>
      <c r="E166" s="7">
        <v>1098.08</v>
      </c>
      <c r="F166" s="7">
        <v>9</v>
      </c>
      <c r="G166" s="7">
        <v>0.1</v>
      </c>
      <c r="H166" s="8">
        <v>45692</v>
      </c>
      <c r="I166" s="7">
        <v>395.31</v>
      </c>
      <c r="J166" s="9">
        <f t="shared" si="4"/>
        <v>8894.4480000000003</v>
      </c>
      <c r="N166" s="15"/>
    </row>
    <row r="167" spans="1:14" ht="17" customHeight="1" x14ac:dyDescent="0.35">
      <c r="A167" s="7" t="s">
        <v>217</v>
      </c>
      <c r="B167" s="7" t="s">
        <v>60</v>
      </c>
      <c r="C167" s="7" t="s">
        <v>17</v>
      </c>
      <c r="D167" s="7" t="s">
        <v>45</v>
      </c>
      <c r="E167" s="7">
        <v>827.25</v>
      </c>
      <c r="F167" s="7">
        <v>7</v>
      </c>
      <c r="G167" s="7">
        <v>0.1</v>
      </c>
      <c r="H167" s="8">
        <v>45693</v>
      </c>
      <c r="I167" s="7">
        <v>335.04</v>
      </c>
      <c r="J167" s="9">
        <f t="shared" si="4"/>
        <v>5211.6750000000002</v>
      </c>
      <c r="N167" s="15"/>
    </row>
    <row r="168" spans="1:14" ht="17" customHeight="1" x14ac:dyDescent="0.35">
      <c r="A168" s="7" t="s">
        <v>218</v>
      </c>
      <c r="B168" s="7" t="s">
        <v>35</v>
      </c>
      <c r="C168" s="7" t="s">
        <v>40</v>
      </c>
      <c r="D168" s="7" t="s">
        <v>21</v>
      </c>
      <c r="E168" s="7">
        <v>741.88</v>
      </c>
      <c r="F168" s="7">
        <v>16</v>
      </c>
      <c r="G168" s="7">
        <v>0.1</v>
      </c>
      <c r="H168" s="8">
        <v>45695</v>
      </c>
      <c r="I168" s="7">
        <v>333.85</v>
      </c>
      <c r="J168" s="9">
        <f t="shared" si="4"/>
        <v>10683.072</v>
      </c>
      <c r="N168" s="15"/>
    </row>
    <row r="169" spans="1:14" ht="17" customHeight="1" x14ac:dyDescent="0.35">
      <c r="A169" s="7" t="s">
        <v>219</v>
      </c>
      <c r="B169" s="7" t="s">
        <v>16</v>
      </c>
      <c r="C169" s="7" t="s">
        <v>24</v>
      </c>
      <c r="D169" s="7" t="s">
        <v>45</v>
      </c>
      <c r="E169" s="7">
        <v>1311.26</v>
      </c>
      <c r="F169" s="7">
        <v>6</v>
      </c>
      <c r="G169" s="7">
        <v>0.1</v>
      </c>
      <c r="H169" s="8">
        <v>45698</v>
      </c>
      <c r="I169" s="7">
        <v>531.05999999999995</v>
      </c>
      <c r="J169" s="9">
        <f t="shared" si="4"/>
        <v>7080.8040000000001</v>
      </c>
      <c r="N169" s="15"/>
    </row>
    <row r="170" spans="1:14" ht="17" customHeight="1" x14ac:dyDescent="0.35">
      <c r="A170" s="7" t="s">
        <v>220</v>
      </c>
      <c r="B170" s="7" t="s">
        <v>37</v>
      </c>
      <c r="C170" s="7" t="s">
        <v>26</v>
      </c>
      <c r="D170" s="7" t="s">
        <v>45</v>
      </c>
      <c r="E170" s="7">
        <v>573.32000000000005</v>
      </c>
      <c r="F170" s="7">
        <v>19</v>
      </c>
      <c r="G170" s="7">
        <v>0.1</v>
      </c>
      <c r="H170" s="8">
        <v>45703</v>
      </c>
      <c r="I170" s="7">
        <v>232.19</v>
      </c>
      <c r="J170" s="9">
        <f t="shared" si="4"/>
        <v>9803.7720000000027</v>
      </c>
      <c r="N170" s="15"/>
    </row>
    <row r="171" spans="1:14" ht="17" customHeight="1" x14ac:dyDescent="0.35">
      <c r="A171" s="7" t="s">
        <v>221</v>
      </c>
      <c r="B171" s="7" t="s">
        <v>29</v>
      </c>
      <c r="C171" s="7" t="s">
        <v>17</v>
      </c>
      <c r="D171" s="7" t="s">
        <v>27</v>
      </c>
      <c r="E171" s="7">
        <v>1115.22</v>
      </c>
      <c r="F171" s="7">
        <v>14</v>
      </c>
      <c r="G171" s="7">
        <v>0.2</v>
      </c>
      <c r="H171" s="8">
        <v>45705</v>
      </c>
      <c r="I171" s="7">
        <v>223.04</v>
      </c>
      <c r="J171" s="9">
        <f t="shared" si="4"/>
        <v>12490.464</v>
      </c>
      <c r="N171" s="15"/>
    </row>
    <row r="172" spans="1:14" ht="17" customHeight="1" x14ac:dyDescent="0.35">
      <c r="A172" s="7" t="s">
        <v>222</v>
      </c>
      <c r="B172" s="7" t="s">
        <v>55</v>
      </c>
      <c r="C172" s="7" t="s">
        <v>30</v>
      </c>
      <c r="D172" s="7" t="s">
        <v>21</v>
      </c>
      <c r="E172" s="7">
        <v>845.84</v>
      </c>
      <c r="F172" s="7">
        <v>4</v>
      </c>
      <c r="G172" s="7">
        <v>0</v>
      </c>
      <c r="H172" s="8">
        <v>45707</v>
      </c>
      <c r="I172" s="7">
        <v>422.92</v>
      </c>
      <c r="J172" s="9">
        <f t="shared" si="4"/>
        <v>3383.36</v>
      </c>
      <c r="N172" s="15"/>
    </row>
    <row r="173" spans="1:14" ht="17" customHeight="1" x14ac:dyDescent="0.35">
      <c r="A173" s="7" t="s">
        <v>223</v>
      </c>
      <c r="B173" s="7" t="s">
        <v>74</v>
      </c>
      <c r="C173" s="7" t="s">
        <v>17</v>
      </c>
      <c r="D173" s="7" t="s">
        <v>27</v>
      </c>
      <c r="E173" s="7">
        <v>1029.8</v>
      </c>
      <c r="F173" s="7">
        <v>3</v>
      </c>
      <c r="G173" s="7">
        <v>0</v>
      </c>
      <c r="H173" s="8">
        <v>45708</v>
      </c>
      <c r="I173" s="7">
        <v>257.45</v>
      </c>
      <c r="J173" s="9">
        <f t="shared" si="4"/>
        <v>3089.3999999999996</v>
      </c>
      <c r="N173" s="15"/>
    </row>
    <row r="174" spans="1:14" ht="17" customHeight="1" x14ac:dyDescent="0.35">
      <c r="A174" s="7" t="s">
        <v>224</v>
      </c>
      <c r="B174" s="7" t="s">
        <v>37</v>
      </c>
      <c r="C174" s="7" t="s">
        <v>30</v>
      </c>
      <c r="D174" s="7" t="s">
        <v>18</v>
      </c>
      <c r="E174" s="7">
        <v>1189.83</v>
      </c>
      <c r="F174" s="7">
        <v>2</v>
      </c>
      <c r="G174" s="7">
        <v>0.2</v>
      </c>
      <c r="H174" s="8">
        <v>45709</v>
      </c>
      <c r="I174" s="7">
        <v>380.75</v>
      </c>
      <c r="J174" s="9">
        <f t="shared" si="4"/>
        <v>1903.7280000000001</v>
      </c>
      <c r="N174" s="15"/>
    </row>
    <row r="175" spans="1:14" ht="17" customHeight="1" x14ac:dyDescent="0.35">
      <c r="A175" s="7" t="s">
        <v>225</v>
      </c>
      <c r="B175" s="7" t="s">
        <v>52</v>
      </c>
      <c r="C175" s="7" t="s">
        <v>26</v>
      </c>
      <c r="D175" s="7" t="s">
        <v>18</v>
      </c>
      <c r="E175" s="7">
        <v>704.28</v>
      </c>
      <c r="F175" s="7">
        <v>15</v>
      </c>
      <c r="G175" s="7">
        <v>0.2</v>
      </c>
      <c r="H175" s="8">
        <v>45712</v>
      </c>
      <c r="I175" s="7">
        <v>225.37</v>
      </c>
      <c r="J175" s="9">
        <f t="shared" si="4"/>
        <v>8451.3599999999988</v>
      </c>
      <c r="N175" s="15"/>
    </row>
    <row r="176" spans="1:14" ht="17" customHeight="1" x14ac:dyDescent="0.35">
      <c r="A176" s="7" t="s">
        <v>226</v>
      </c>
      <c r="B176" s="7" t="s">
        <v>57</v>
      </c>
      <c r="C176" s="7" t="s">
        <v>40</v>
      </c>
      <c r="D176" s="7" t="s">
        <v>45</v>
      </c>
      <c r="E176" s="7">
        <v>1618.22</v>
      </c>
      <c r="F176" s="7">
        <v>12</v>
      </c>
      <c r="G176" s="7">
        <v>0.2</v>
      </c>
      <c r="H176" s="8">
        <v>45712</v>
      </c>
      <c r="I176" s="7">
        <v>582.55999999999995</v>
      </c>
      <c r="J176" s="9">
        <f t="shared" si="4"/>
        <v>15534.912</v>
      </c>
      <c r="N176" s="15"/>
    </row>
    <row r="177" spans="1:14" ht="17" customHeight="1" x14ac:dyDescent="0.35">
      <c r="A177" s="7" t="s">
        <v>227</v>
      </c>
      <c r="B177" s="7" t="s">
        <v>71</v>
      </c>
      <c r="C177" s="7" t="s">
        <v>40</v>
      </c>
      <c r="D177" s="7" t="s">
        <v>18</v>
      </c>
      <c r="E177" s="7">
        <v>1014.43</v>
      </c>
      <c r="F177" s="7">
        <v>2</v>
      </c>
      <c r="G177" s="7">
        <v>0.15</v>
      </c>
      <c r="H177" s="8">
        <v>45713</v>
      </c>
      <c r="I177" s="7">
        <v>344.91</v>
      </c>
      <c r="J177" s="9">
        <f t="shared" si="4"/>
        <v>1724.5309999999999</v>
      </c>
      <c r="N177" s="15"/>
    </row>
    <row r="178" spans="1:14" ht="17" customHeight="1" x14ac:dyDescent="0.35">
      <c r="A178" s="7" t="s">
        <v>228</v>
      </c>
      <c r="B178" s="7" t="s">
        <v>37</v>
      </c>
      <c r="C178" s="7" t="s">
        <v>40</v>
      </c>
      <c r="D178" s="7" t="s">
        <v>21</v>
      </c>
      <c r="E178" s="7">
        <v>826.97</v>
      </c>
      <c r="F178" s="7">
        <v>18</v>
      </c>
      <c r="G178" s="7">
        <v>0.2</v>
      </c>
      <c r="H178" s="8">
        <v>45715</v>
      </c>
      <c r="I178" s="7">
        <v>330.79</v>
      </c>
      <c r="J178" s="9">
        <f t="shared" si="4"/>
        <v>11908.368000000002</v>
      </c>
      <c r="N178" s="15"/>
    </row>
    <row r="179" spans="1:14" ht="17" customHeight="1" x14ac:dyDescent="0.35">
      <c r="A179" s="7" t="s">
        <v>229</v>
      </c>
      <c r="B179" s="7" t="s">
        <v>37</v>
      </c>
      <c r="C179" s="7" t="s">
        <v>40</v>
      </c>
      <c r="D179" s="7" t="s">
        <v>21</v>
      </c>
      <c r="E179" s="7">
        <v>1022.23</v>
      </c>
      <c r="F179" s="7">
        <v>8</v>
      </c>
      <c r="G179" s="7">
        <v>0.1</v>
      </c>
      <c r="H179" s="8">
        <v>45717</v>
      </c>
      <c r="I179" s="7">
        <v>460</v>
      </c>
      <c r="J179" s="9">
        <f t="shared" si="4"/>
        <v>7360.0560000000005</v>
      </c>
      <c r="N179" s="15"/>
    </row>
    <row r="180" spans="1:14" ht="17" customHeight="1" x14ac:dyDescent="0.35">
      <c r="A180" s="7" t="s">
        <v>230</v>
      </c>
      <c r="B180" s="7" t="s">
        <v>35</v>
      </c>
      <c r="C180" s="7" t="s">
        <v>24</v>
      </c>
      <c r="D180" s="7" t="s">
        <v>18</v>
      </c>
      <c r="E180" s="7">
        <v>1099.69</v>
      </c>
      <c r="F180" s="7">
        <v>6</v>
      </c>
      <c r="G180" s="7">
        <v>0</v>
      </c>
      <c r="H180" s="8">
        <v>45718</v>
      </c>
      <c r="I180" s="7">
        <v>439.88</v>
      </c>
      <c r="J180" s="9">
        <f t="shared" si="4"/>
        <v>6598.14</v>
      </c>
      <c r="N180" s="15"/>
    </row>
    <row r="181" spans="1:14" ht="17" customHeight="1" x14ac:dyDescent="0.35">
      <c r="A181" s="7" t="s">
        <v>231</v>
      </c>
      <c r="B181" s="7" t="s">
        <v>101</v>
      </c>
      <c r="C181" s="7" t="s">
        <v>30</v>
      </c>
      <c r="D181" s="7" t="s">
        <v>18</v>
      </c>
      <c r="E181" s="7">
        <v>710.52</v>
      </c>
      <c r="F181" s="7">
        <v>8</v>
      </c>
      <c r="G181" s="7">
        <v>0.1</v>
      </c>
      <c r="H181" s="8">
        <v>45721</v>
      </c>
      <c r="I181" s="7">
        <v>255.79</v>
      </c>
      <c r="J181" s="9">
        <f t="shared" si="4"/>
        <v>5115.7439999999997</v>
      </c>
      <c r="N181" s="15"/>
    </row>
    <row r="182" spans="1:14" ht="17" customHeight="1" x14ac:dyDescent="0.35">
      <c r="A182" s="7" t="s">
        <v>232</v>
      </c>
      <c r="B182" s="7" t="s">
        <v>84</v>
      </c>
      <c r="C182" s="7" t="s">
        <v>30</v>
      </c>
      <c r="D182" s="7" t="s">
        <v>18</v>
      </c>
      <c r="E182" s="7">
        <v>499.18</v>
      </c>
      <c r="F182" s="7">
        <v>15</v>
      </c>
      <c r="G182" s="7">
        <v>0.2</v>
      </c>
      <c r="H182" s="8">
        <v>45724</v>
      </c>
      <c r="I182" s="7">
        <v>159.74</v>
      </c>
      <c r="J182" s="9">
        <f t="shared" si="4"/>
        <v>5990.16</v>
      </c>
      <c r="N182" s="15"/>
    </row>
    <row r="183" spans="1:14" ht="17" customHeight="1" x14ac:dyDescent="0.35">
      <c r="A183" s="7" t="s">
        <v>233</v>
      </c>
      <c r="B183" s="7" t="s">
        <v>44</v>
      </c>
      <c r="C183" s="7" t="s">
        <v>26</v>
      </c>
      <c r="D183" s="7" t="s">
        <v>18</v>
      </c>
      <c r="E183" s="7">
        <v>1064.19</v>
      </c>
      <c r="F183" s="7">
        <v>18</v>
      </c>
      <c r="G183" s="7">
        <v>0.05</v>
      </c>
      <c r="H183" s="8">
        <v>45725</v>
      </c>
      <c r="I183" s="7">
        <v>404.39</v>
      </c>
      <c r="J183" s="9">
        <f t="shared" si="4"/>
        <v>18197.649000000001</v>
      </c>
      <c r="N183" s="15"/>
    </row>
    <row r="184" spans="1:14" ht="17" customHeight="1" x14ac:dyDescent="0.35">
      <c r="A184" s="7" t="s">
        <v>234</v>
      </c>
      <c r="B184" s="7" t="s">
        <v>44</v>
      </c>
      <c r="C184" s="7" t="s">
        <v>24</v>
      </c>
      <c r="D184" s="7" t="s">
        <v>45</v>
      </c>
      <c r="E184" s="7">
        <v>438.76</v>
      </c>
      <c r="F184" s="7">
        <v>18</v>
      </c>
      <c r="G184" s="7">
        <v>0.05</v>
      </c>
      <c r="H184" s="8">
        <v>45726</v>
      </c>
      <c r="I184" s="7">
        <v>187.57</v>
      </c>
      <c r="J184" s="9">
        <f t="shared" si="4"/>
        <v>7502.7960000000003</v>
      </c>
      <c r="N184" s="15"/>
    </row>
    <row r="185" spans="1:14" ht="17" customHeight="1" x14ac:dyDescent="0.35">
      <c r="A185" s="7" t="s">
        <v>235</v>
      </c>
      <c r="B185" s="7" t="s">
        <v>74</v>
      </c>
      <c r="C185" s="7" t="s">
        <v>17</v>
      </c>
      <c r="D185" s="7" t="s">
        <v>21</v>
      </c>
      <c r="E185" s="7">
        <v>864.98</v>
      </c>
      <c r="F185" s="7">
        <v>2</v>
      </c>
      <c r="G185" s="7">
        <v>0.05</v>
      </c>
      <c r="H185" s="8">
        <v>45727</v>
      </c>
      <c r="I185" s="7">
        <v>410.87</v>
      </c>
      <c r="J185" s="9">
        <f t="shared" si="4"/>
        <v>1643.462</v>
      </c>
      <c r="N185" s="15"/>
    </row>
    <row r="186" spans="1:14" ht="17" customHeight="1" x14ac:dyDescent="0.35">
      <c r="A186" s="7" t="s">
        <v>236</v>
      </c>
      <c r="B186" s="7" t="s">
        <v>74</v>
      </c>
      <c r="C186" s="7" t="s">
        <v>17</v>
      </c>
      <c r="D186" s="7" t="s">
        <v>33</v>
      </c>
      <c r="E186" s="7">
        <v>984.93</v>
      </c>
      <c r="F186" s="7">
        <v>14</v>
      </c>
      <c r="G186" s="7">
        <v>0.2</v>
      </c>
      <c r="H186" s="8">
        <v>45733</v>
      </c>
      <c r="I186" s="7">
        <v>275.77999999999997</v>
      </c>
      <c r="J186" s="9">
        <f t="shared" si="4"/>
        <v>11031.216</v>
      </c>
      <c r="N186" s="15"/>
    </row>
    <row r="187" spans="1:14" ht="17" customHeight="1" x14ac:dyDescent="0.35">
      <c r="A187" s="7" t="s">
        <v>237</v>
      </c>
      <c r="B187" s="7" t="s">
        <v>74</v>
      </c>
      <c r="C187" s="7" t="s">
        <v>17</v>
      </c>
      <c r="D187" s="7" t="s">
        <v>21</v>
      </c>
      <c r="E187" s="7">
        <v>1493.49</v>
      </c>
      <c r="F187" s="7">
        <v>18</v>
      </c>
      <c r="G187" s="7">
        <v>0</v>
      </c>
      <c r="H187" s="8">
        <v>45734</v>
      </c>
      <c r="I187" s="7">
        <v>746.74</v>
      </c>
      <c r="J187" s="9">
        <f t="shared" si="4"/>
        <v>26882.82</v>
      </c>
      <c r="N187" s="15"/>
    </row>
    <row r="188" spans="1:14" ht="17" customHeight="1" x14ac:dyDescent="0.35">
      <c r="A188" s="7" t="s">
        <v>238</v>
      </c>
      <c r="B188" s="7" t="s">
        <v>71</v>
      </c>
      <c r="C188" s="7" t="s">
        <v>26</v>
      </c>
      <c r="D188" s="7" t="s">
        <v>21</v>
      </c>
      <c r="E188" s="7">
        <v>689.43</v>
      </c>
      <c r="F188" s="7">
        <v>9</v>
      </c>
      <c r="G188" s="7">
        <v>0.1</v>
      </c>
      <c r="H188" s="8">
        <v>45736</v>
      </c>
      <c r="I188" s="7">
        <v>310.24</v>
      </c>
      <c r="J188" s="9">
        <f t="shared" si="4"/>
        <v>5584.3829999999998</v>
      </c>
      <c r="N188" s="15"/>
    </row>
    <row r="189" spans="1:14" ht="17" customHeight="1" x14ac:dyDescent="0.35">
      <c r="A189" s="7" t="s">
        <v>239</v>
      </c>
      <c r="B189" s="7" t="s">
        <v>84</v>
      </c>
      <c r="C189" s="7" t="s">
        <v>26</v>
      </c>
      <c r="D189" s="7" t="s">
        <v>21</v>
      </c>
      <c r="E189" s="7">
        <v>682.24</v>
      </c>
      <c r="F189" s="7">
        <v>1</v>
      </c>
      <c r="G189" s="7">
        <v>0</v>
      </c>
      <c r="H189" s="8">
        <v>45738</v>
      </c>
      <c r="I189" s="7">
        <v>341.12</v>
      </c>
      <c r="J189" s="9">
        <f t="shared" si="4"/>
        <v>682.24</v>
      </c>
      <c r="N189" s="15"/>
    </row>
    <row r="190" spans="1:14" ht="17" customHeight="1" x14ac:dyDescent="0.35">
      <c r="A190" s="7" t="s">
        <v>240</v>
      </c>
      <c r="B190" s="7" t="s">
        <v>32</v>
      </c>
      <c r="C190" s="7" t="s">
        <v>30</v>
      </c>
      <c r="D190" s="7" t="s">
        <v>27</v>
      </c>
      <c r="E190" s="7">
        <v>458.54</v>
      </c>
      <c r="F190" s="7">
        <v>15</v>
      </c>
      <c r="G190" s="7">
        <v>0.2</v>
      </c>
      <c r="H190" s="8">
        <v>45741</v>
      </c>
      <c r="I190" s="7">
        <v>91.71</v>
      </c>
      <c r="J190" s="9">
        <f t="shared" si="4"/>
        <v>5502.4800000000005</v>
      </c>
      <c r="N190" s="15"/>
    </row>
    <row r="191" spans="1:14" ht="17" customHeight="1" x14ac:dyDescent="0.35">
      <c r="A191" s="7" t="s">
        <v>241</v>
      </c>
      <c r="B191" s="7" t="s">
        <v>32</v>
      </c>
      <c r="C191" s="7" t="s">
        <v>26</v>
      </c>
      <c r="D191" s="7" t="s">
        <v>33</v>
      </c>
      <c r="E191" s="7">
        <v>1184.25</v>
      </c>
      <c r="F191" s="7">
        <v>11</v>
      </c>
      <c r="G191" s="7">
        <v>0.2</v>
      </c>
      <c r="H191" s="8">
        <v>45742</v>
      </c>
      <c r="I191" s="7">
        <v>331.59</v>
      </c>
      <c r="J191" s="9">
        <f t="shared" si="4"/>
        <v>10421.400000000001</v>
      </c>
      <c r="N191" s="15"/>
    </row>
    <row r="192" spans="1:14" ht="17" customHeight="1" x14ac:dyDescent="0.35">
      <c r="A192" s="7" t="s">
        <v>242</v>
      </c>
      <c r="B192" s="7" t="s">
        <v>16</v>
      </c>
      <c r="C192" s="7" t="s">
        <v>26</v>
      </c>
      <c r="D192" s="7" t="s">
        <v>21</v>
      </c>
      <c r="E192" s="7">
        <v>762.14</v>
      </c>
      <c r="F192" s="7">
        <v>9</v>
      </c>
      <c r="G192" s="7">
        <v>0</v>
      </c>
      <c r="H192" s="8">
        <v>45743</v>
      </c>
      <c r="I192" s="7">
        <v>381.07</v>
      </c>
      <c r="J192" s="9">
        <f t="shared" si="4"/>
        <v>6859.26</v>
      </c>
      <c r="N192" s="15"/>
    </row>
    <row r="193" spans="1:14" ht="17" customHeight="1" x14ac:dyDescent="0.35">
      <c r="A193" s="7" t="s">
        <v>243</v>
      </c>
      <c r="B193" s="7" t="s">
        <v>71</v>
      </c>
      <c r="C193" s="7" t="s">
        <v>30</v>
      </c>
      <c r="D193" s="7" t="s">
        <v>18</v>
      </c>
      <c r="E193" s="7">
        <v>750.71</v>
      </c>
      <c r="F193" s="7">
        <v>10</v>
      </c>
      <c r="G193" s="7">
        <v>0.15</v>
      </c>
      <c r="H193" s="8">
        <v>45743</v>
      </c>
      <c r="I193" s="7">
        <v>255.24</v>
      </c>
      <c r="J193" s="9">
        <f t="shared" si="4"/>
        <v>6381.0349999999999</v>
      </c>
      <c r="N193" s="15"/>
    </row>
    <row r="194" spans="1:14" ht="17" customHeight="1" x14ac:dyDescent="0.35">
      <c r="A194" s="7" t="s">
        <v>244</v>
      </c>
      <c r="B194" s="7" t="s">
        <v>125</v>
      </c>
      <c r="C194" s="7" t="s">
        <v>40</v>
      </c>
      <c r="D194" s="7" t="s">
        <v>21</v>
      </c>
      <c r="E194" s="7">
        <v>1456.94</v>
      </c>
      <c r="F194" s="7">
        <v>14</v>
      </c>
      <c r="G194" s="7">
        <v>0.05</v>
      </c>
      <c r="H194" s="8">
        <v>45745</v>
      </c>
      <c r="I194" s="7">
        <v>692.05</v>
      </c>
      <c r="J194" s="9">
        <f t="shared" si="4"/>
        <v>19377.302</v>
      </c>
      <c r="N194" s="15"/>
    </row>
    <row r="195" spans="1:14" ht="17" customHeight="1" x14ac:dyDescent="0.35">
      <c r="A195" s="7" t="s">
        <v>245</v>
      </c>
      <c r="B195" s="7" t="s">
        <v>86</v>
      </c>
      <c r="C195" s="7" t="s">
        <v>24</v>
      </c>
      <c r="D195" s="7" t="s">
        <v>33</v>
      </c>
      <c r="E195" s="7">
        <v>1093.3800000000001</v>
      </c>
      <c r="F195" s="7">
        <v>17</v>
      </c>
      <c r="G195" s="7">
        <v>0.1</v>
      </c>
      <c r="H195" s="8">
        <v>45745</v>
      </c>
      <c r="I195" s="7">
        <v>344.41</v>
      </c>
      <c r="J195" s="9">
        <f t="shared" ref="J195:J201" si="5">(E195 * F195) * (1 - G195)</f>
        <v>16728.714000000004</v>
      </c>
      <c r="N195" s="15"/>
    </row>
    <row r="196" spans="1:14" ht="17" customHeight="1" x14ac:dyDescent="0.35">
      <c r="A196" s="7" t="s">
        <v>246</v>
      </c>
      <c r="B196" s="7" t="s">
        <v>52</v>
      </c>
      <c r="C196" s="7" t="s">
        <v>17</v>
      </c>
      <c r="D196" s="7" t="s">
        <v>21</v>
      </c>
      <c r="E196" s="7">
        <v>934.27</v>
      </c>
      <c r="F196" s="7">
        <v>8</v>
      </c>
      <c r="G196" s="7">
        <v>0.15</v>
      </c>
      <c r="H196" s="8">
        <v>45746</v>
      </c>
      <c r="I196" s="7">
        <v>397.06</v>
      </c>
      <c r="J196" s="9">
        <f t="shared" si="5"/>
        <v>6353.0360000000001</v>
      </c>
      <c r="N196" s="15"/>
    </row>
    <row r="197" spans="1:14" ht="17" customHeight="1" x14ac:dyDescent="0.35">
      <c r="A197" s="7" t="s">
        <v>247</v>
      </c>
      <c r="B197" s="7" t="s">
        <v>42</v>
      </c>
      <c r="C197" s="7" t="s">
        <v>40</v>
      </c>
      <c r="D197" s="7" t="s">
        <v>21</v>
      </c>
      <c r="E197" s="7">
        <v>1465.35</v>
      </c>
      <c r="F197" s="7">
        <v>8</v>
      </c>
      <c r="G197" s="7">
        <v>0.2</v>
      </c>
      <c r="H197" s="8">
        <v>45746</v>
      </c>
      <c r="I197" s="7">
        <v>586.14</v>
      </c>
      <c r="J197" s="9">
        <f t="shared" si="5"/>
        <v>9378.24</v>
      </c>
      <c r="N197" s="15"/>
    </row>
    <row r="198" spans="1:14" ht="17" customHeight="1" x14ac:dyDescent="0.35">
      <c r="A198" s="7" t="s">
        <v>248</v>
      </c>
      <c r="B198" s="7" t="s">
        <v>20</v>
      </c>
      <c r="C198" s="7" t="s">
        <v>26</v>
      </c>
      <c r="D198" s="7" t="s">
        <v>45</v>
      </c>
      <c r="E198" s="7">
        <v>740.8</v>
      </c>
      <c r="F198" s="7">
        <v>3</v>
      </c>
      <c r="G198" s="7">
        <v>0</v>
      </c>
      <c r="H198" s="8">
        <v>45749</v>
      </c>
      <c r="I198" s="7">
        <v>333.36</v>
      </c>
      <c r="J198" s="9">
        <f t="shared" si="5"/>
        <v>2222.3999999999996</v>
      </c>
      <c r="N198" s="15"/>
    </row>
    <row r="199" spans="1:14" ht="17" customHeight="1" x14ac:dyDescent="0.35">
      <c r="A199" s="7" t="s">
        <v>249</v>
      </c>
      <c r="B199" s="7" t="s">
        <v>52</v>
      </c>
      <c r="C199" s="7" t="s">
        <v>17</v>
      </c>
      <c r="D199" s="7" t="s">
        <v>45</v>
      </c>
      <c r="E199" s="7">
        <v>545.44000000000005</v>
      </c>
      <c r="F199" s="7">
        <v>17</v>
      </c>
      <c r="G199" s="7">
        <v>0</v>
      </c>
      <c r="H199" s="8">
        <v>45752</v>
      </c>
      <c r="I199" s="7">
        <v>245.45</v>
      </c>
      <c r="J199" s="9">
        <f t="shared" si="5"/>
        <v>9272.4800000000014</v>
      </c>
      <c r="N199" s="15"/>
    </row>
    <row r="200" spans="1:14" ht="17" customHeight="1" x14ac:dyDescent="0.35">
      <c r="A200" s="7" t="s">
        <v>250</v>
      </c>
      <c r="B200" s="7" t="s">
        <v>42</v>
      </c>
      <c r="C200" s="7" t="s">
        <v>24</v>
      </c>
      <c r="D200" s="7" t="s">
        <v>18</v>
      </c>
      <c r="E200" s="7">
        <v>997.61</v>
      </c>
      <c r="F200" s="7">
        <v>8</v>
      </c>
      <c r="G200" s="7">
        <v>0.05</v>
      </c>
      <c r="H200" s="8">
        <v>45752</v>
      </c>
      <c r="I200" s="7">
        <v>379.09</v>
      </c>
      <c r="J200" s="9">
        <f t="shared" si="5"/>
        <v>7581.8359999999993</v>
      </c>
      <c r="N200" s="15"/>
    </row>
    <row r="201" spans="1:14" ht="17" customHeight="1" x14ac:dyDescent="0.35">
      <c r="A201" s="7" t="s">
        <v>251</v>
      </c>
      <c r="B201" s="7" t="s">
        <v>42</v>
      </c>
      <c r="C201" s="7" t="s">
        <v>26</v>
      </c>
      <c r="D201" s="7" t="s">
        <v>21</v>
      </c>
      <c r="E201" s="7">
        <v>928.32</v>
      </c>
      <c r="F201" s="7">
        <v>2</v>
      </c>
      <c r="G201" s="7">
        <v>0.05</v>
      </c>
      <c r="H201" s="8">
        <v>45754</v>
      </c>
      <c r="I201" s="7">
        <v>440.95</v>
      </c>
      <c r="J201" s="9">
        <f t="shared" si="5"/>
        <v>1763.808</v>
      </c>
      <c r="N201" s="15"/>
    </row>
  </sheetData>
  <scenarios current="4" show="4">
    <scenario name="NORMAL" locked="1" count="1" user="Admin" comment="Created by Admin on 17-02-2026">
      <inputCells r="P9" val="0.1"/>
    </scenario>
    <scenario name="SECOND" locked="1" count="1" user="Admin" comment="Created by Admin on 17-02-2026">
      <inputCells r="P9" val="0.2"/>
    </scenario>
    <scenario name="THIRD" locked="1" count="1" user="Admin" comment="Created by Admin on 17-02-2026">
      <inputCells r="P9" val="0.3"/>
    </scenario>
    <scenario name="FOURTH" locked="1" count="1" user="Admin" comment="Created by Admin on 17-02-2026">
      <inputCells r="P9" val="0.4"/>
    </scenario>
    <scenario name="FIFTH" locked="1" count="1" user="Admin" comment="Created by Admin on 17-02-2026">
      <inputCells r="P9" val="0.5"/>
    </scenario>
  </scenarios>
  <mergeCells count="6">
    <mergeCell ref="O19:O23"/>
    <mergeCell ref="O7:P7"/>
    <mergeCell ref="O14:Q14"/>
    <mergeCell ref="P15:P18"/>
    <mergeCell ref="Q15:Q17"/>
    <mergeCell ref="O15:O18"/>
  </mergeCells>
  <conditionalFormatting sqref="A2:J201">
    <cfRule type="expression" dxfId="24" priority="2">
      <formula>RANK($J2, $J$2:$J$201) + COUNTIF($J$2:$J2, $J2) - 1 &lt;= 10</formula>
    </cfRule>
  </conditionalFormatting>
  <pageMargins left="0.7" right="0.7" top="0.75" bottom="0.75" header="0.3" footer="0.3"/>
  <pageSetup paperSize="9" orientation="portrait" horizontalDpi="300" verticalDpi="0" r:id="rId1"/>
  <extLst>
    <ext xmlns:x14="http://schemas.microsoft.com/office/spreadsheetml/2009/9/main" uri="{78C0D931-6437-407d-A8EE-F0AAD7539E65}">
      <x14:conditionalFormattings>
        <x14:conditionalFormatting xmlns:xm="http://schemas.microsoft.com/office/excel/2006/main">
          <x14:cfRule type="iconSet" priority="1" id="{4BF2C5FC-2FCB-4123-B717-2301A89695E0}">
            <x14:iconSet iconSet="3Arrows" custom="1">
              <x14:cfvo type="percent">
                <xm:f>0</xm:f>
              </x14:cfvo>
              <x14:cfvo type="num">
                <xm:f>0</xm:f>
              </x14:cfvo>
              <x14:cfvo type="num">
                <xm:f>0</xm:f>
              </x14:cfvo>
              <x14:cfIcon iconSet="3Arrows" iconId="0"/>
              <x14:cfIcon iconSet="3Triangles" iconId="1"/>
              <x14:cfIcon iconSet="3Arrows" iconId="2"/>
            </x14:iconSet>
          </x14:cfRule>
          <xm:sqref>M6:M17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zoomScale="78" workbookViewId="0">
      <selection activeCell="G18" sqref="G18"/>
    </sheetView>
  </sheetViews>
  <sheetFormatPr defaultRowHeight="14.5" x14ac:dyDescent="0.35"/>
  <cols>
    <col min="1" max="1" width="16.453125" customWidth="1"/>
    <col min="2" max="2" width="13.1796875" customWidth="1"/>
    <col min="3" max="3" width="2.81640625" customWidth="1"/>
    <col min="4" max="4" width="17" customWidth="1"/>
    <col min="5" max="5" width="13.1796875" customWidth="1"/>
    <col min="6" max="6" width="2.90625" customWidth="1"/>
    <col min="7" max="7" width="17.6328125" customWidth="1"/>
    <col min="8" max="8" width="13.08984375" customWidth="1"/>
    <col min="9" max="9" width="2.54296875" customWidth="1"/>
    <col min="10" max="10" width="16.90625" customWidth="1"/>
    <col min="11" max="11" width="13.1796875" customWidth="1"/>
    <col min="12" max="12" width="2.6328125" customWidth="1"/>
    <col min="13" max="13" width="16.6328125" customWidth="1"/>
    <col min="14" max="14" width="13.36328125" customWidth="1"/>
    <col min="15" max="15" width="2.81640625" customWidth="1"/>
    <col min="16" max="16" width="16.81640625" customWidth="1"/>
    <col min="17" max="17" width="13.90625" customWidth="1"/>
  </cols>
  <sheetData>
    <row r="1" spans="1:17" ht="15.5" x14ac:dyDescent="0.35">
      <c r="A1" s="60" t="s">
        <v>4</v>
      </c>
      <c r="B1" s="61"/>
      <c r="D1" s="62" t="s">
        <v>5</v>
      </c>
      <c r="E1" s="62"/>
      <c r="G1" s="63" t="s">
        <v>6</v>
      </c>
      <c r="H1" s="63"/>
      <c r="J1" s="64" t="s">
        <v>7</v>
      </c>
      <c r="K1" s="64"/>
      <c r="M1" s="65" t="s">
        <v>8</v>
      </c>
      <c r="N1" s="65"/>
      <c r="P1" s="59" t="s">
        <v>9</v>
      </c>
      <c r="Q1" s="59"/>
    </row>
    <row r="2" spans="1:17" x14ac:dyDescent="0.35">
      <c r="A2" s="16"/>
      <c r="B2" s="16"/>
      <c r="D2" s="16"/>
      <c r="E2" s="16"/>
      <c r="G2" s="16"/>
      <c r="H2" s="16"/>
      <c r="J2" s="16"/>
      <c r="K2" s="16"/>
      <c r="M2" s="16"/>
      <c r="N2" s="16"/>
      <c r="P2" s="16"/>
      <c r="Q2" s="16"/>
    </row>
    <row r="3" spans="1:17" x14ac:dyDescent="0.35">
      <c r="A3" s="17" t="s">
        <v>252</v>
      </c>
      <c r="B3" s="17">
        <v>976.08879999999965</v>
      </c>
      <c r="D3" s="18" t="s">
        <v>252</v>
      </c>
      <c r="E3" s="18">
        <v>9.9949999999999992</v>
      </c>
      <c r="G3" s="19" t="s">
        <v>252</v>
      </c>
      <c r="H3" s="19">
        <v>9.7250000000000003E-2</v>
      </c>
      <c r="J3" s="20" t="s">
        <v>252</v>
      </c>
      <c r="K3" s="20">
        <v>45564.144999999997</v>
      </c>
      <c r="M3" s="21" t="s">
        <v>252</v>
      </c>
      <c r="N3" s="21">
        <v>341.43505000000005</v>
      </c>
      <c r="P3" s="22" t="s">
        <v>252</v>
      </c>
      <c r="Q3" s="22">
        <v>8760.7167999999965</v>
      </c>
    </row>
    <row r="4" spans="1:17" x14ac:dyDescent="0.35">
      <c r="A4" s="17" t="s">
        <v>253</v>
      </c>
      <c r="B4" s="17">
        <v>21.161850448978406</v>
      </c>
      <c r="D4" s="18" t="s">
        <v>253</v>
      </c>
      <c r="E4" s="18">
        <v>0.39927682743257598</v>
      </c>
      <c r="G4" s="19" t="s">
        <v>253</v>
      </c>
      <c r="H4" s="19">
        <v>5.1142413732752686E-3</v>
      </c>
      <c r="J4" s="20" t="s">
        <v>253</v>
      </c>
      <c r="K4" s="20">
        <v>7.9187976775702165</v>
      </c>
      <c r="M4" s="21" t="s">
        <v>253</v>
      </c>
      <c r="N4" s="21">
        <v>9.6001196472332531</v>
      </c>
      <c r="P4" s="22" t="s">
        <v>253</v>
      </c>
      <c r="Q4" s="22">
        <v>411.83446992103865</v>
      </c>
    </row>
    <row r="5" spans="1:17" x14ac:dyDescent="0.35">
      <c r="A5" s="17" t="s">
        <v>254</v>
      </c>
      <c r="B5" s="17">
        <v>976.72</v>
      </c>
      <c r="D5" s="18" t="s">
        <v>254</v>
      </c>
      <c r="E5" s="18">
        <v>10</v>
      </c>
      <c r="G5" s="19" t="s">
        <v>254</v>
      </c>
      <c r="H5" s="19">
        <v>0.1</v>
      </c>
      <c r="J5" s="20" t="s">
        <v>254</v>
      </c>
      <c r="K5" s="20">
        <v>45564.5</v>
      </c>
      <c r="M5" s="21" t="s">
        <v>254</v>
      </c>
      <c r="N5" s="21">
        <v>332.255</v>
      </c>
      <c r="P5" s="22" t="s">
        <v>254</v>
      </c>
      <c r="Q5" s="22">
        <v>7409.7430000000004</v>
      </c>
    </row>
    <row r="6" spans="1:17" x14ac:dyDescent="0.35">
      <c r="A6" s="17" t="s">
        <v>255</v>
      </c>
      <c r="B6" s="17" t="e">
        <v>#N/A</v>
      </c>
      <c r="D6" s="18" t="s">
        <v>255</v>
      </c>
      <c r="E6" s="18">
        <v>8</v>
      </c>
      <c r="G6" s="19" t="s">
        <v>255</v>
      </c>
      <c r="H6" s="19">
        <v>0.2</v>
      </c>
      <c r="J6" s="20" t="s">
        <v>255</v>
      </c>
      <c r="K6" s="20">
        <v>45429</v>
      </c>
      <c r="M6" s="21" t="s">
        <v>255</v>
      </c>
      <c r="N6" s="21" t="e">
        <v>#N/A</v>
      </c>
      <c r="P6" s="22" t="s">
        <v>255</v>
      </c>
      <c r="Q6" s="22" t="e">
        <v>#N/A</v>
      </c>
    </row>
    <row r="7" spans="1:17" x14ac:dyDescent="0.35">
      <c r="A7" s="17" t="s">
        <v>256</v>
      </c>
      <c r="B7" s="17">
        <v>299.27375909856431</v>
      </c>
      <c r="D7" s="18" t="s">
        <v>256</v>
      </c>
      <c r="E7" s="18">
        <v>5.6466270449645082</v>
      </c>
      <c r="G7" s="19" t="s">
        <v>256</v>
      </c>
      <c r="H7" s="19">
        <v>7.232629511335488E-2</v>
      </c>
      <c r="J7" s="20" t="s">
        <v>256</v>
      </c>
      <c r="K7" s="20">
        <v>111.98871073308368</v>
      </c>
      <c r="M7" s="21" t="s">
        <v>256</v>
      </c>
      <c r="N7" s="21">
        <v>135.7661940552168</v>
      </c>
      <c r="P7" s="22" t="s">
        <v>256</v>
      </c>
      <c r="Q7" s="22">
        <v>5824.2189281506735</v>
      </c>
    </row>
    <row r="8" spans="1:17" x14ac:dyDescent="0.35">
      <c r="A8" s="17" t="s">
        <v>257</v>
      </c>
      <c r="B8" s="17">
        <v>89564.782884985514</v>
      </c>
      <c r="D8" s="18" t="s">
        <v>257</v>
      </c>
      <c r="E8" s="18">
        <v>31.884396984924617</v>
      </c>
      <c r="G8" s="19" t="s">
        <v>257</v>
      </c>
      <c r="H8" s="19">
        <v>5.2310929648241022E-3</v>
      </c>
      <c r="J8" s="20" t="s">
        <v>257</v>
      </c>
      <c r="K8" s="20">
        <v>12541.471331658293</v>
      </c>
      <c r="M8" s="21" t="s">
        <v>257</v>
      </c>
      <c r="N8" s="21">
        <v>18432.459448238787</v>
      </c>
      <c r="P8" s="22" t="s">
        <v>257</v>
      </c>
      <c r="Q8" s="22">
        <v>33921526.123028584</v>
      </c>
    </row>
    <row r="9" spans="1:17" x14ac:dyDescent="0.35">
      <c r="A9" s="17" t="s">
        <v>258</v>
      </c>
      <c r="B9" s="17">
        <v>-8.8595231919740502E-2</v>
      </c>
      <c r="D9" s="18" t="s">
        <v>258</v>
      </c>
      <c r="E9" s="18">
        <v>-1.2091053826620759</v>
      </c>
      <c r="G9" s="19" t="s">
        <v>258</v>
      </c>
      <c r="H9" s="19">
        <v>-1.3257012415855784</v>
      </c>
      <c r="J9" s="20" t="s">
        <v>258</v>
      </c>
      <c r="K9" s="20">
        <v>-1.2820132193662439</v>
      </c>
      <c r="M9" s="21" t="s">
        <v>258</v>
      </c>
      <c r="N9" s="21">
        <v>0.26450643813582442</v>
      </c>
      <c r="P9" s="22" t="s">
        <v>258</v>
      </c>
      <c r="Q9" s="22">
        <v>-5.2242560757611578E-3</v>
      </c>
    </row>
    <row r="10" spans="1:17" x14ac:dyDescent="0.35">
      <c r="A10" s="17" t="s">
        <v>259</v>
      </c>
      <c r="B10" s="17">
        <v>0.14685796564193557</v>
      </c>
      <c r="D10" s="18" t="s">
        <v>259</v>
      </c>
      <c r="E10" s="18">
        <v>6.084586432077814E-2</v>
      </c>
      <c r="G10" s="19" t="s">
        <v>259</v>
      </c>
      <c r="H10" s="19">
        <v>9.6827385576684841E-2</v>
      </c>
      <c r="J10" s="20" t="s">
        <v>259</v>
      </c>
      <c r="K10" s="20">
        <v>6.0697356405978772E-2</v>
      </c>
      <c r="M10" s="21" t="s">
        <v>259</v>
      </c>
      <c r="N10" s="21">
        <v>0.57339636063424715</v>
      </c>
      <c r="P10" s="22" t="s">
        <v>259</v>
      </c>
      <c r="Q10" s="22">
        <v>0.72990327902873509</v>
      </c>
    </row>
    <row r="11" spans="1:17" x14ac:dyDescent="0.35">
      <c r="A11" s="17" t="s">
        <v>260</v>
      </c>
      <c r="B11" s="17">
        <v>1665.15</v>
      </c>
      <c r="D11" s="18" t="s">
        <v>260</v>
      </c>
      <c r="E11" s="18">
        <v>18</v>
      </c>
      <c r="G11" s="19" t="s">
        <v>260</v>
      </c>
      <c r="H11" s="19">
        <v>0.2</v>
      </c>
      <c r="J11" s="20" t="s">
        <v>260</v>
      </c>
      <c r="K11" s="20">
        <v>362</v>
      </c>
      <c r="M11" s="21" t="s">
        <v>260</v>
      </c>
      <c r="N11" s="21">
        <v>704.83</v>
      </c>
      <c r="P11" s="22" t="s">
        <v>260</v>
      </c>
      <c r="Q11" s="22">
        <v>27188.083999999999</v>
      </c>
    </row>
    <row r="12" spans="1:17" x14ac:dyDescent="0.35">
      <c r="A12" s="17" t="s">
        <v>261</v>
      </c>
      <c r="B12" s="17">
        <v>258.51</v>
      </c>
      <c r="D12" s="18" t="s">
        <v>261</v>
      </c>
      <c r="E12" s="18">
        <v>1</v>
      </c>
      <c r="G12" s="19" t="s">
        <v>261</v>
      </c>
      <c r="H12" s="19">
        <v>0</v>
      </c>
      <c r="J12" s="20" t="s">
        <v>261</v>
      </c>
      <c r="K12" s="20">
        <v>45392</v>
      </c>
      <c r="M12" s="21" t="s">
        <v>261</v>
      </c>
      <c r="N12" s="21">
        <v>64.63</v>
      </c>
      <c r="P12" s="22" t="s">
        <v>261</v>
      </c>
      <c r="Q12" s="22">
        <v>247.53600000000003</v>
      </c>
    </row>
    <row r="13" spans="1:17" x14ac:dyDescent="0.35">
      <c r="A13" s="17" t="s">
        <v>262</v>
      </c>
      <c r="B13" s="17">
        <v>1923.66</v>
      </c>
      <c r="D13" s="18" t="s">
        <v>262</v>
      </c>
      <c r="E13" s="18">
        <v>19</v>
      </c>
      <c r="G13" s="19" t="s">
        <v>262</v>
      </c>
      <c r="H13" s="19">
        <v>0.2</v>
      </c>
      <c r="J13" s="20" t="s">
        <v>262</v>
      </c>
      <c r="K13" s="20">
        <v>45754</v>
      </c>
      <c r="M13" s="21" t="s">
        <v>262</v>
      </c>
      <c r="N13" s="21">
        <v>769.46</v>
      </c>
      <c r="P13" s="22" t="s">
        <v>262</v>
      </c>
      <c r="Q13" s="22">
        <v>27435.62</v>
      </c>
    </row>
    <row r="14" spans="1:17" x14ac:dyDescent="0.35">
      <c r="A14" s="17" t="s">
        <v>263</v>
      </c>
      <c r="B14" s="17">
        <v>195217.75999999992</v>
      </c>
      <c r="D14" s="18" t="s">
        <v>263</v>
      </c>
      <c r="E14" s="18">
        <v>1999</v>
      </c>
      <c r="G14" s="19" t="s">
        <v>263</v>
      </c>
      <c r="H14" s="19">
        <v>19.45</v>
      </c>
      <c r="J14" s="20" t="s">
        <v>263</v>
      </c>
      <c r="K14" s="20">
        <v>9112829</v>
      </c>
      <c r="M14" s="21" t="s">
        <v>263</v>
      </c>
      <c r="N14" s="21">
        <v>68287.010000000009</v>
      </c>
      <c r="P14" s="22" t="s">
        <v>263</v>
      </c>
      <c r="Q14" s="22">
        <v>1752143.3599999994</v>
      </c>
    </row>
    <row r="15" spans="1:17" x14ac:dyDescent="0.35">
      <c r="A15" s="17" t="s">
        <v>264</v>
      </c>
      <c r="B15" s="17">
        <v>200</v>
      </c>
      <c r="D15" s="18" t="s">
        <v>264</v>
      </c>
      <c r="E15" s="18">
        <v>200</v>
      </c>
      <c r="G15" s="19" t="s">
        <v>264</v>
      </c>
      <c r="H15" s="19">
        <v>200</v>
      </c>
      <c r="J15" s="20" t="s">
        <v>264</v>
      </c>
      <c r="K15" s="20">
        <v>200</v>
      </c>
      <c r="M15" s="21" t="s">
        <v>264</v>
      </c>
      <c r="N15" s="21">
        <v>200</v>
      </c>
      <c r="P15" s="22" t="s">
        <v>264</v>
      </c>
      <c r="Q15" s="22">
        <v>200</v>
      </c>
    </row>
  </sheetData>
  <mergeCells count="6">
    <mergeCell ref="P1:Q1"/>
    <mergeCell ref="A1:B1"/>
    <mergeCell ref="D1:E1"/>
    <mergeCell ref="G1:H1"/>
    <mergeCell ref="J1:K1"/>
    <mergeCell ref="M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selection activeCell="C3" sqref="C3"/>
    </sheetView>
  </sheetViews>
  <sheetFormatPr defaultRowHeight="14.5" x14ac:dyDescent="0.35"/>
  <cols>
    <col min="1" max="1" width="17.08984375" customWidth="1"/>
    <col min="2" max="2" width="14.26953125" customWidth="1"/>
    <col min="3" max="3" width="15.08984375" customWidth="1"/>
    <col min="4" max="4" width="13.453125" customWidth="1"/>
    <col min="5" max="5" width="16.36328125" customWidth="1"/>
    <col min="6" max="6" width="14.36328125" customWidth="1"/>
    <col min="7" max="7" width="13.90625" customWidth="1"/>
    <col min="8" max="8" width="14.36328125" customWidth="1"/>
    <col min="9" max="9" width="16.36328125" customWidth="1"/>
  </cols>
  <sheetData>
    <row r="1" spans="1:9" ht="18.5" x14ac:dyDescent="0.35">
      <c r="A1" s="66" t="s">
        <v>270</v>
      </c>
      <c r="B1" s="66"/>
    </row>
    <row r="3" spans="1:9" x14ac:dyDescent="0.35">
      <c r="A3" s="28" t="s">
        <v>271</v>
      </c>
      <c r="B3" s="28"/>
    </row>
    <row r="4" spans="1:9" x14ac:dyDescent="0.35">
      <c r="A4" s="29" t="s">
        <v>272</v>
      </c>
      <c r="B4" s="29">
        <v>0.77340306414342619</v>
      </c>
    </row>
    <row r="5" spans="1:9" x14ac:dyDescent="0.35">
      <c r="A5" s="29" t="s">
        <v>273</v>
      </c>
      <c r="B5" s="29">
        <v>0.59815229962644056</v>
      </c>
    </row>
    <row r="6" spans="1:9" x14ac:dyDescent="0.35">
      <c r="A6" s="29" t="s">
        <v>274</v>
      </c>
      <c r="B6" s="29">
        <v>0.59612276578617007</v>
      </c>
    </row>
    <row r="7" spans="1:9" x14ac:dyDescent="0.35">
      <c r="A7" s="29" t="s">
        <v>253</v>
      </c>
      <c r="B7" s="29">
        <v>86.281230529665166</v>
      </c>
    </row>
    <row r="8" spans="1:9" x14ac:dyDescent="0.35">
      <c r="A8" s="29" t="s">
        <v>275</v>
      </c>
      <c r="B8" s="29">
        <v>200</v>
      </c>
    </row>
    <row r="10" spans="1:9" x14ac:dyDescent="0.35">
      <c r="A10" s="30" t="s">
        <v>276</v>
      </c>
      <c r="B10" s="23"/>
      <c r="C10" s="23"/>
      <c r="D10" s="23"/>
      <c r="E10" s="23"/>
      <c r="F10" s="23"/>
    </row>
    <row r="11" spans="1:9" x14ac:dyDescent="0.35">
      <c r="A11" s="31"/>
      <c r="B11" s="32" t="s">
        <v>277</v>
      </c>
      <c r="C11" s="32" t="s">
        <v>278</v>
      </c>
      <c r="D11" s="32" t="s">
        <v>279</v>
      </c>
      <c r="E11" s="32" t="s">
        <v>280</v>
      </c>
      <c r="F11" s="32" t="s">
        <v>281</v>
      </c>
    </row>
    <row r="12" spans="1:9" x14ac:dyDescent="0.35">
      <c r="A12" s="33" t="s">
        <v>282</v>
      </c>
      <c r="B12" s="33">
        <v>1</v>
      </c>
      <c r="C12" s="33">
        <v>2194058.1833402822</v>
      </c>
      <c r="D12" s="33">
        <v>2194058.1833402822</v>
      </c>
      <c r="E12" s="33">
        <v>294.72398427548114</v>
      </c>
      <c r="F12" s="33">
        <v>4.6269367558910499E-41</v>
      </c>
    </row>
    <row r="13" spans="1:9" x14ac:dyDescent="0.35">
      <c r="A13" s="33" t="s">
        <v>283</v>
      </c>
      <c r="B13" s="33">
        <v>198</v>
      </c>
      <c r="C13" s="33">
        <v>1474001.2468592182</v>
      </c>
      <c r="D13" s="33">
        <v>7444.4507417132236</v>
      </c>
      <c r="E13" s="33"/>
      <c r="F13" s="33"/>
    </row>
    <row r="14" spans="1:9" x14ac:dyDescent="0.35">
      <c r="A14" s="33" t="s">
        <v>284</v>
      </c>
      <c r="B14" s="33">
        <v>199</v>
      </c>
      <c r="C14" s="33">
        <v>3668059.4301995002</v>
      </c>
      <c r="D14" s="33"/>
      <c r="E14" s="33"/>
      <c r="F14" s="33"/>
    </row>
    <row r="16" spans="1:9" x14ac:dyDescent="0.35">
      <c r="A16" s="34"/>
      <c r="B16" s="35" t="s">
        <v>285</v>
      </c>
      <c r="C16" s="35" t="s">
        <v>253</v>
      </c>
      <c r="D16" s="35" t="s">
        <v>286</v>
      </c>
      <c r="E16" s="35" t="s">
        <v>287</v>
      </c>
      <c r="F16" s="35" t="s">
        <v>288</v>
      </c>
      <c r="G16" s="35" t="s">
        <v>289</v>
      </c>
      <c r="H16" s="35" t="s">
        <v>290</v>
      </c>
      <c r="I16" s="35" t="s">
        <v>291</v>
      </c>
    </row>
    <row r="17" spans="1:9" x14ac:dyDescent="0.35">
      <c r="A17" s="36" t="s">
        <v>292</v>
      </c>
      <c r="B17" s="36">
        <v>-1.0315504901911368</v>
      </c>
      <c r="C17" s="36">
        <v>20.860617005445505</v>
      </c>
      <c r="D17" s="36">
        <v>-4.9449663445805959E-2</v>
      </c>
      <c r="E17" s="36">
        <v>0.96061079696907459</v>
      </c>
      <c r="F17" s="36">
        <v>-42.169051823378965</v>
      </c>
      <c r="G17" s="36">
        <v>40.105950842996691</v>
      </c>
      <c r="H17" s="36">
        <v>-42.169051823378965</v>
      </c>
      <c r="I17" s="36">
        <v>40.105950842996691</v>
      </c>
    </row>
    <row r="18" spans="1:9" x14ac:dyDescent="0.35">
      <c r="A18" s="36" t="s">
        <v>293</v>
      </c>
      <c r="B18" s="36">
        <v>0.35085598819512254</v>
      </c>
      <c r="C18" s="36">
        <v>2.0437188630135626E-2</v>
      </c>
      <c r="D18" s="36">
        <v>17.167527028535048</v>
      </c>
      <c r="E18" s="36">
        <v>4.6269367558907868E-41</v>
      </c>
      <c r="F18" s="36">
        <v>0.31055349501865764</v>
      </c>
      <c r="G18" s="36">
        <v>0.39115848137158743</v>
      </c>
      <c r="H18" s="36">
        <v>0.31055349501865764</v>
      </c>
      <c r="I18" s="36">
        <v>0.39115848137158743</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38"/>
  <sheetViews>
    <sheetView topLeftCell="A16" zoomScale="69" workbookViewId="0">
      <selection activeCell="P21" sqref="P21"/>
    </sheetView>
  </sheetViews>
  <sheetFormatPr defaultRowHeight="14.5" x14ac:dyDescent="0.35"/>
  <cols>
    <col min="1" max="1" width="12.36328125" customWidth="1"/>
    <col min="2" max="2" width="15.26953125" customWidth="1"/>
    <col min="3" max="3" width="8.81640625" customWidth="1"/>
    <col min="4" max="4" width="9.81640625" bestFit="1" customWidth="1"/>
    <col min="5" max="5" width="8.81640625" customWidth="1"/>
    <col min="6" max="6" width="13.1796875" customWidth="1"/>
    <col min="7" max="7" width="10.7265625" customWidth="1"/>
    <col min="8" max="8" width="13.453125" customWidth="1"/>
    <col min="11" max="11" width="13.1796875" customWidth="1"/>
    <col min="12" max="12" width="11.26953125" customWidth="1"/>
  </cols>
  <sheetData>
    <row r="3" spans="1:7" x14ac:dyDescent="0.35">
      <c r="A3" s="26" t="s">
        <v>265</v>
      </c>
      <c r="B3" s="26" t="s">
        <v>266</v>
      </c>
      <c r="C3" s="23"/>
      <c r="D3" s="23"/>
      <c r="E3" s="23"/>
      <c r="F3" s="23"/>
      <c r="G3" s="23"/>
    </row>
    <row r="4" spans="1:7" x14ac:dyDescent="0.35">
      <c r="A4" s="26" t="s">
        <v>267</v>
      </c>
      <c r="B4" s="23" t="s">
        <v>18</v>
      </c>
      <c r="C4" s="23" t="s">
        <v>21</v>
      </c>
      <c r="D4" s="23" t="s">
        <v>27</v>
      </c>
      <c r="E4" s="23" t="s">
        <v>33</v>
      </c>
      <c r="F4" s="23" t="s">
        <v>45</v>
      </c>
      <c r="G4" s="23" t="s">
        <v>268</v>
      </c>
    </row>
    <row r="5" spans="1:7" x14ac:dyDescent="0.35">
      <c r="A5" s="24" t="s">
        <v>40</v>
      </c>
      <c r="B5" s="25">
        <v>11297.150000000001</v>
      </c>
      <c r="C5" s="25">
        <v>12200.26</v>
      </c>
      <c r="D5" s="25">
        <v>6621.24</v>
      </c>
      <c r="E5" s="25">
        <v>4876.96</v>
      </c>
      <c r="F5" s="25">
        <v>8472.7199999999993</v>
      </c>
      <c r="G5" s="25">
        <v>43468.33</v>
      </c>
    </row>
    <row r="6" spans="1:7" x14ac:dyDescent="0.35">
      <c r="A6" s="24" t="s">
        <v>24</v>
      </c>
      <c r="B6" s="25">
        <v>11389.090000000002</v>
      </c>
      <c r="C6" s="25">
        <v>2401.4499999999998</v>
      </c>
      <c r="D6" s="25">
        <v>2869.54</v>
      </c>
      <c r="E6" s="25">
        <v>7592.3399999999992</v>
      </c>
      <c r="F6" s="25">
        <v>8189.2200000000012</v>
      </c>
      <c r="G6" s="25">
        <v>32441.640000000003</v>
      </c>
    </row>
    <row r="7" spans="1:7" x14ac:dyDescent="0.35">
      <c r="A7" s="24" t="s">
        <v>30</v>
      </c>
      <c r="B7" s="25">
        <v>8037.0100000000011</v>
      </c>
      <c r="C7" s="25">
        <v>8422.82</v>
      </c>
      <c r="D7" s="25">
        <v>8191.7099999999991</v>
      </c>
      <c r="E7" s="25">
        <v>6978.08</v>
      </c>
      <c r="F7" s="25">
        <v>3345.8</v>
      </c>
      <c r="G7" s="25">
        <v>34975.420000000006</v>
      </c>
    </row>
    <row r="8" spans="1:7" x14ac:dyDescent="0.35">
      <c r="A8" s="24" t="s">
        <v>26</v>
      </c>
      <c r="B8" s="25">
        <v>9588.0400000000009</v>
      </c>
      <c r="C8" s="25">
        <v>8393.630000000001</v>
      </c>
      <c r="D8" s="25">
        <v>11989.070000000003</v>
      </c>
      <c r="E8" s="25">
        <v>7982.73</v>
      </c>
      <c r="F8" s="25">
        <v>2295.3199999999997</v>
      </c>
      <c r="G8" s="25">
        <v>40248.79</v>
      </c>
    </row>
    <row r="9" spans="1:7" x14ac:dyDescent="0.35">
      <c r="A9" s="24" t="s">
        <v>17</v>
      </c>
      <c r="B9" s="25">
        <v>6691.17</v>
      </c>
      <c r="C9" s="25">
        <v>10509.429999999998</v>
      </c>
      <c r="D9" s="25">
        <v>11372.44</v>
      </c>
      <c r="E9" s="25">
        <v>9182.7800000000007</v>
      </c>
      <c r="F9" s="25">
        <v>6327.76</v>
      </c>
      <c r="G9" s="25">
        <v>44083.58</v>
      </c>
    </row>
    <row r="10" spans="1:7" x14ac:dyDescent="0.35">
      <c r="A10" s="24" t="s">
        <v>268</v>
      </c>
      <c r="B10" s="25">
        <v>47002.460000000006</v>
      </c>
      <c r="C10" s="25">
        <v>41927.589999999997</v>
      </c>
      <c r="D10" s="25">
        <v>41044</v>
      </c>
      <c r="E10" s="25">
        <v>36612.89</v>
      </c>
      <c r="F10" s="25">
        <v>28630.82</v>
      </c>
      <c r="G10" s="25">
        <v>195217.76</v>
      </c>
    </row>
    <row r="17" spans="6:12" x14ac:dyDescent="0.35">
      <c r="K17" s="26" t="s">
        <v>267</v>
      </c>
      <c r="L17" s="23" t="s">
        <v>265</v>
      </c>
    </row>
    <row r="18" spans="6:12" x14ac:dyDescent="0.35">
      <c r="K18" s="24" t="s">
        <v>18</v>
      </c>
      <c r="L18" s="25">
        <v>47002.460000000006</v>
      </c>
    </row>
    <row r="19" spans="6:12" x14ac:dyDescent="0.35">
      <c r="K19" s="24" t="s">
        <v>21</v>
      </c>
      <c r="L19" s="25">
        <v>41927.589999999989</v>
      </c>
    </row>
    <row r="20" spans="6:12" x14ac:dyDescent="0.35">
      <c r="K20" s="24" t="s">
        <v>27</v>
      </c>
      <c r="L20" s="25">
        <v>41044.000000000007</v>
      </c>
    </row>
    <row r="21" spans="6:12" x14ac:dyDescent="0.35">
      <c r="K21" s="24" t="s">
        <v>33</v>
      </c>
      <c r="L21" s="25">
        <v>36612.89</v>
      </c>
    </row>
    <row r="22" spans="6:12" x14ac:dyDescent="0.35">
      <c r="K22" s="24" t="s">
        <v>45</v>
      </c>
      <c r="L22" s="25">
        <v>28630.819999999992</v>
      </c>
    </row>
    <row r="23" spans="6:12" x14ac:dyDescent="0.35">
      <c r="K23" s="24" t="s">
        <v>268</v>
      </c>
      <c r="L23" s="25">
        <v>195217.76</v>
      </c>
    </row>
    <row r="32" spans="6:12" x14ac:dyDescent="0.35">
      <c r="F32" s="26" t="s">
        <v>267</v>
      </c>
      <c r="G32" s="23" t="s">
        <v>265</v>
      </c>
    </row>
    <row r="33" spans="6:7" x14ac:dyDescent="0.35">
      <c r="F33" s="24" t="s">
        <v>40</v>
      </c>
      <c r="G33" s="25">
        <v>43468.33</v>
      </c>
    </row>
    <row r="34" spans="6:7" x14ac:dyDescent="0.35">
      <c r="F34" s="24" t="s">
        <v>24</v>
      </c>
      <c r="G34" s="25">
        <v>32441.64</v>
      </c>
    </row>
    <row r="35" spans="6:7" x14ac:dyDescent="0.35">
      <c r="F35" s="24" t="s">
        <v>30</v>
      </c>
      <c r="G35" s="25">
        <v>34975.42</v>
      </c>
    </row>
    <row r="36" spans="6:7" x14ac:dyDescent="0.35">
      <c r="F36" s="24" t="s">
        <v>26</v>
      </c>
      <c r="G36" s="25">
        <v>40248.79</v>
      </c>
    </row>
    <row r="37" spans="6:7" x14ac:dyDescent="0.35">
      <c r="F37" s="24" t="s">
        <v>17</v>
      </c>
      <c r="G37" s="25">
        <v>44083.58</v>
      </c>
    </row>
    <row r="38" spans="6:7" x14ac:dyDescent="0.35">
      <c r="F38" s="24" t="s">
        <v>268</v>
      </c>
      <c r="G38" s="25">
        <v>195217.76</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
  <sheetViews>
    <sheetView tabSelected="1" zoomScale="54" workbookViewId="0">
      <selection activeCell="AG25" sqref="AG25"/>
    </sheetView>
  </sheetViews>
  <sheetFormatPr defaultRowHeight="14.5" x14ac:dyDescent="0.35"/>
  <cols>
    <col min="1" max="16384" width="8.7265625" style="27"/>
  </cols>
  <sheetData>
    <row r="1" spans="1:28" ht="14.5" customHeight="1" x14ac:dyDescent="0.35">
      <c r="A1" s="67" t="s">
        <v>269</v>
      </c>
      <c r="B1" s="67"/>
      <c r="C1" s="67"/>
      <c r="D1" s="67"/>
      <c r="E1" s="67"/>
      <c r="F1" s="67"/>
      <c r="G1" s="67"/>
      <c r="H1" s="67"/>
      <c r="I1" s="67"/>
      <c r="J1" s="67"/>
      <c r="K1" s="67"/>
      <c r="L1" s="67"/>
      <c r="M1" s="67"/>
      <c r="N1" s="67"/>
      <c r="O1" s="67"/>
      <c r="P1" s="67"/>
      <c r="Q1" s="67"/>
      <c r="R1" s="67"/>
      <c r="S1" s="67"/>
      <c r="T1" s="67"/>
      <c r="U1" s="67"/>
      <c r="V1" s="67"/>
      <c r="W1" s="67"/>
      <c r="X1" s="67"/>
      <c r="Y1" s="67"/>
      <c r="Z1" s="67"/>
      <c r="AA1" s="67"/>
      <c r="AB1" s="67"/>
    </row>
    <row r="2" spans="1:28" ht="14.5" customHeight="1" x14ac:dyDescent="0.35">
      <c r="A2" s="67"/>
      <c r="B2" s="67"/>
      <c r="C2" s="67"/>
      <c r="D2" s="67"/>
      <c r="E2" s="67"/>
      <c r="F2" s="67"/>
      <c r="G2" s="67"/>
      <c r="H2" s="67"/>
      <c r="I2" s="67"/>
      <c r="J2" s="67"/>
      <c r="K2" s="67"/>
      <c r="L2" s="67"/>
      <c r="M2" s="67"/>
      <c r="N2" s="67"/>
      <c r="O2" s="67"/>
      <c r="P2" s="67"/>
      <c r="Q2" s="67"/>
      <c r="R2" s="67"/>
      <c r="S2" s="67"/>
      <c r="T2" s="67"/>
      <c r="U2" s="67"/>
      <c r="V2" s="67"/>
      <c r="W2" s="67"/>
      <c r="X2" s="67"/>
      <c r="Y2" s="67"/>
      <c r="Z2" s="67"/>
      <c r="AA2" s="67"/>
      <c r="AB2" s="67"/>
    </row>
    <row r="3" spans="1:28" ht="9.5" customHeight="1" x14ac:dyDescent="0.35">
      <c r="A3" s="67"/>
      <c r="B3" s="67"/>
      <c r="C3" s="67"/>
      <c r="D3" s="67"/>
      <c r="E3" s="67"/>
      <c r="F3" s="67"/>
      <c r="G3" s="67"/>
      <c r="H3" s="67"/>
      <c r="I3" s="67"/>
      <c r="J3" s="67"/>
      <c r="K3" s="67"/>
      <c r="L3" s="67"/>
      <c r="M3" s="67"/>
      <c r="N3" s="67"/>
      <c r="O3" s="67"/>
      <c r="P3" s="67"/>
      <c r="Q3" s="67"/>
      <c r="R3" s="67"/>
      <c r="S3" s="67"/>
      <c r="T3" s="67"/>
      <c r="U3" s="67"/>
      <c r="V3" s="67"/>
      <c r="W3" s="67"/>
      <c r="X3" s="67"/>
      <c r="Y3" s="67"/>
      <c r="Z3" s="67"/>
      <c r="AA3" s="67"/>
      <c r="AB3" s="67"/>
    </row>
  </sheetData>
  <mergeCells count="1">
    <mergeCell ref="A1:AB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 data</vt:lpstr>
      <vt:lpstr>Descriptive statistic</vt:lpstr>
      <vt:lpstr>Linear regression</vt:lpstr>
      <vt:lpstr>Pivote 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2026-02-17T04:10:25Z</dcterms:created>
  <dcterms:modified xsi:type="dcterms:W3CDTF">2026-02-17T08:21:33Z</dcterms:modified>
</cp:coreProperties>
</file>