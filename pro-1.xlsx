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Admin\Documents\"/>
    </mc:Choice>
  </mc:AlternateContent>
  <bookViews>
    <workbookView xWindow="0" yWindow="0" windowWidth="19200" windowHeight="6900"/>
  </bookViews>
  <sheets>
    <sheet name="stu.data" sheetId="1" r:id="rId1"/>
    <sheet name="sales data" sheetId="2" r:id="rId2"/>
    <sheet name="emp.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G21" i="1"/>
  <c r="H21" i="1" s="1"/>
  <c r="G20" i="1"/>
  <c r="H20" i="1" s="1"/>
  <c r="G19" i="1"/>
  <c r="G18" i="1"/>
  <c r="G17" i="1"/>
  <c r="G16" i="1"/>
  <c r="H16" i="1" s="1"/>
  <c r="G15" i="1"/>
  <c r="H15" i="1" s="1"/>
  <c r="G14" i="1"/>
  <c r="G13" i="1"/>
  <c r="H13" i="1" s="1"/>
  <c r="G12" i="1"/>
  <c r="H12" i="1" s="1"/>
  <c r="G11" i="1"/>
  <c r="G10" i="1"/>
  <c r="G9" i="1"/>
  <c r="G8" i="1"/>
  <c r="H8" i="1" s="1"/>
  <c r="G7" i="1"/>
  <c r="H7" i="1" s="1"/>
  <c r="G6" i="1"/>
  <c r="G5" i="1"/>
  <c r="H5" i="1" s="1"/>
  <c r="G4" i="1"/>
  <c r="H4" i="1" s="1"/>
  <c r="G3" i="1"/>
  <c r="G2" i="1"/>
  <c r="H2" i="1" s="1"/>
  <c r="H19" i="1"/>
  <c r="H18" i="1"/>
  <c r="H17" i="1"/>
  <c r="H14" i="1"/>
  <c r="H11" i="1"/>
  <c r="H10" i="1"/>
  <c r="H9" i="1"/>
  <c r="H6" i="1"/>
  <c r="H3" i="1"/>
</calcChain>
</file>

<file path=xl/sharedStrings.xml><?xml version="1.0" encoding="utf-8"?>
<sst xmlns="http://schemas.openxmlformats.org/spreadsheetml/2006/main" count="142" uniqueCount="94">
  <si>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</si>
  <si>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</si>
  <si>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</si>
  <si>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</si>
  <si>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</si>
  <si>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</si>
  <si>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</si>
  <si>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</si>
  <si>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</si>
  <si>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</si>
  <si>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</si>
  <si>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</si>
  <si>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</si>
  <si>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</si>
  <si>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</si>
  <si>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</si>
  <si>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</si>
  <si>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</si>
  <si>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</si>
  <si>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</si>
  <si>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</si>
  <si>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</si>
  <si>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</si>
  <si>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</si>
  <si>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</si>
  <si>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</si>
  <si>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</si>
  <si>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</si>
  <si>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</si>
  <si>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</si>
  <si>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</si>
  <si>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</si>
  <si>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</si>
  <si>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</si>
  <si>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</si>
  <si>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</si>
  <si>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</si>
  <si>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</si>
  <si>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</si>
  <si>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</si>
  <si>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</si>
  <si>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</si>
  <si>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</si>
  <si>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</si>
  <si>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</si>
  <si>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</si>
  <si>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</si>
  <si>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</si>
  <si>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</si>
  <si>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</si>
  <si>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</si>
  <si>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</si>
  <si>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</si>
  <si>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</si>
  <si>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</si>
  <si>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</si>
  <si>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</si>
  <si>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</si>
  <si>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</si>
  <si>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</si>
  <si>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</si>
  <si>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</si>
  <si>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</si>
  <si>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</si>
  <si>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</si>
  <si>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</si>
  <si>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</si>
  <si>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</si>
  <si>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</si>
  <si>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</si>
  <si>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</si>
  <si>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</si>
  <si>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</si>
  <si>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</si>
  <si>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</si>
  <si>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</si>
  <si>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</si>
  <si>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</si>
  <si>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</si>
  <si>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</si>
  <si>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</si>
  <si>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</si>
  <si>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</si>
  <si>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</si>
  <si>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</si>
  <si>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</si>
  <si>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</si>
  <si>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</si>
  <si>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</si>
  <si>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Grade</t>
  </si>
  <si>
    <t>Average</t>
  </si>
  <si>
    <t>Math's &amp; Science 80 up Score</t>
  </si>
  <si>
    <t>Discount</t>
  </si>
  <si>
    <t>Pro.Discount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</si>
</sst>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2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2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2" fontId="4" fillId="0" borderId="2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22" fontId="0" fillId="4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22" fontId="0" fillId="0" borderId="3" xfId="0" applyNumberFormat="1" applyFont="1" applyBorder="1" applyAlignment="1">
      <alignment horizontal="center" vertical="center" wrapText="1"/>
    </xf>
    <xf numFmtId="22" fontId="0" fillId="4" borderId="3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22" fontId="0" fillId="0" borderId="4" xfId="0" applyNumberFormat="1" applyFont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22" fontId="0" fillId="5" borderId="1" xfId="0" applyNumberFormat="1" applyFont="1" applyFill="1" applyBorder="1" applyAlignment="1">
      <alignment horizontal="center" vertical="center" wrapText="1"/>
    </xf>
    <xf numFmtId="22" fontId="0" fillId="5" borderId="3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0" fillId="9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0" fillId="9" borderId="6" xfId="0" applyFont="1" applyFill="1" applyBorder="1"/>
    <xf numFmtId="0" fontId="0" fillId="0" borderId="6" xfId="0" applyFont="1" applyBorder="1"/>
    <xf numFmtId="0" fontId="1" fillId="11" borderId="8" xfId="0" applyFont="1" applyFill="1" applyBorder="1" applyAlignment="1">
      <alignment horizontal="center" vertical="center"/>
    </xf>
    <xf numFmtId="164" fontId="0" fillId="12" borderId="8" xfId="0" applyNumberFormat="1" applyFont="1" applyFill="1" applyBorder="1" applyAlignment="1">
      <alignment horizontal="center" vertical="center"/>
    </xf>
    <xf numFmtId="164" fontId="0" fillId="12" borderId="7" xfId="0" applyNumberFormat="1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0" fillId="1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="87" workbookViewId="0">
      <selection activeCell="J1" sqref="J1"/>
    </sheetView>
  </sheetViews>
  <sheetFormatPr defaultRowHeight="15" customHeight="1" x14ac:dyDescent="0.35"/>
  <cols>
    <col min="1" max="1" width="12.26953125" customWidth="1"/>
    <col min="2" max="2" width="11.6328125" customWidth="1"/>
    <col min="6" max="6" width="22.453125" customWidth="1"/>
    <col min="7" max="7" width="15.54296875" customWidth="1"/>
    <col min="8" max="8" width="13" customWidth="1"/>
    <col min="9" max="9" width="27.453125" customWidth="1"/>
  </cols>
  <sheetData>
    <row r="1" spans="1:9" ht="1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3" t="s">
        <v>90</v>
      </c>
      <c r="H1" s="19" t="s">
        <v>89</v>
      </c>
      <c r="I1" s="21" t="s">
        <v>91</v>
      </c>
    </row>
    <row r="2" spans="1:9" ht="15" customHeight="1" thickBot="1" x14ac:dyDescent="0.4">
      <c r="A2" s="2">
        <v>1001</v>
      </c>
      <c r="B2" s="2" t="s">
        <v>6</v>
      </c>
      <c r="C2" s="2">
        <v>61</v>
      </c>
      <c r="D2" s="2">
        <v>48</v>
      </c>
      <c r="E2" s="2">
        <v>76</v>
      </c>
      <c r="F2" s="3">
        <v>43101</v>
      </c>
      <c r="G2" s="24">
        <f t="shared" ref="G2:G21" si="0">AVERAGE(C2:E2)</f>
        <v>61.666666666666664</v>
      </c>
      <c r="H2" s="20" t="str">
        <f>IF(G2&gt;=75,"A",IF(G2&gt;=60,"B",IF(G2&gt;=40,"C","FAIL")))</f>
        <v>B</v>
      </c>
      <c r="I2" s="22" t="str">
        <f>IF(AND(C2&gt;80,D2&gt;80),B2,"-")</f>
        <v>-</v>
      </c>
    </row>
    <row r="3" spans="1:9" ht="15" customHeight="1" thickBot="1" x14ac:dyDescent="0.4">
      <c r="A3" s="4">
        <v>1002</v>
      </c>
      <c r="B3" s="4" t="s">
        <v>7</v>
      </c>
      <c r="C3" s="4">
        <v>78</v>
      </c>
      <c r="D3" s="4">
        <v>76</v>
      </c>
      <c r="E3" s="4">
        <v>70</v>
      </c>
      <c r="F3" s="5">
        <v>43281</v>
      </c>
      <c r="G3" s="25">
        <f t="shared" si="0"/>
        <v>74.666666666666671</v>
      </c>
      <c r="H3" s="20" t="str">
        <f t="shared" ref="H3:H21" si="1">IF(G3&gt;=75,"A",IF(G3&gt;=60,"B",IF(G3&gt;=40,"C","FAIL")))</f>
        <v>B</v>
      </c>
      <c r="I3" s="22" t="str">
        <f t="shared" ref="I3:I21" si="2">IF(AND(C3&gt;80,D3&gt;80),B3,"-")</f>
        <v>-</v>
      </c>
    </row>
    <row r="4" spans="1:9" ht="15" customHeight="1" thickBot="1" x14ac:dyDescent="0.4">
      <c r="A4" s="2">
        <v>1003</v>
      </c>
      <c r="B4" s="2" t="s">
        <v>8</v>
      </c>
      <c r="C4" s="2">
        <v>97</v>
      </c>
      <c r="D4" s="2">
        <v>60</v>
      </c>
      <c r="E4" s="2">
        <v>51</v>
      </c>
      <c r="F4" s="3">
        <v>43461</v>
      </c>
      <c r="G4" s="24">
        <f t="shared" si="0"/>
        <v>69.333333333333329</v>
      </c>
      <c r="H4" s="20" t="str">
        <f t="shared" si="1"/>
        <v>B</v>
      </c>
      <c r="I4" s="22" t="str">
        <f t="shared" si="2"/>
        <v>-</v>
      </c>
    </row>
    <row r="5" spans="1:9" ht="15" customHeight="1" thickBot="1" x14ac:dyDescent="0.4">
      <c r="A5" s="4">
        <v>1004</v>
      </c>
      <c r="B5" s="4" t="s">
        <v>9</v>
      </c>
      <c r="C5" s="4">
        <v>74</v>
      </c>
      <c r="D5" s="4">
        <v>55</v>
      </c>
      <c r="E5" s="4">
        <v>46</v>
      </c>
      <c r="F5" s="5">
        <v>43641</v>
      </c>
      <c r="G5" s="25">
        <f t="shared" si="0"/>
        <v>58.333333333333336</v>
      </c>
      <c r="H5" s="20" t="str">
        <f t="shared" si="1"/>
        <v>C</v>
      </c>
      <c r="I5" s="22" t="str">
        <f t="shared" si="2"/>
        <v>-</v>
      </c>
    </row>
    <row r="6" spans="1:9" ht="15" customHeight="1" thickBot="1" x14ac:dyDescent="0.4">
      <c r="A6" s="2">
        <v>1005</v>
      </c>
      <c r="B6" s="2" t="s">
        <v>10</v>
      </c>
      <c r="C6" s="2">
        <v>68</v>
      </c>
      <c r="D6" s="2">
        <v>74</v>
      </c>
      <c r="E6" s="2">
        <v>84</v>
      </c>
      <c r="F6" s="3">
        <v>43821</v>
      </c>
      <c r="G6" s="24">
        <f t="shared" si="0"/>
        <v>75.333333333333329</v>
      </c>
      <c r="H6" s="20" t="str">
        <f t="shared" si="1"/>
        <v>A</v>
      </c>
      <c r="I6" s="22" t="str">
        <f t="shared" si="2"/>
        <v>-</v>
      </c>
    </row>
    <row r="7" spans="1:9" ht="15" customHeight="1" thickBot="1" x14ac:dyDescent="0.4">
      <c r="A7" s="4">
        <v>1006</v>
      </c>
      <c r="B7" s="4" t="s">
        <v>11</v>
      </c>
      <c r="C7" s="4">
        <v>80</v>
      </c>
      <c r="D7" s="4">
        <v>70</v>
      </c>
      <c r="E7" s="4">
        <v>65</v>
      </c>
      <c r="F7" s="5">
        <v>44001</v>
      </c>
      <c r="G7" s="25">
        <f t="shared" si="0"/>
        <v>71.666666666666671</v>
      </c>
      <c r="H7" s="20" t="str">
        <f t="shared" si="1"/>
        <v>B</v>
      </c>
      <c r="I7" s="22" t="str">
        <f t="shared" si="2"/>
        <v>-</v>
      </c>
    </row>
    <row r="8" spans="1:9" ht="15" customHeight="1" thickBot="1" x14ac:dyDescent="0.4">
      <c r="A8" s="2">
        <v>1007</v>
      </c>
      <c r="B8" s="2" t="s">
        <v>12</v>
      </c>
      <c r="C8" s="2">
        <v>75</v>
      </c>
      <c r="D8" s="2">
        <v>47</v>
      </c>
      <c r="E8" s="2">
        <v>78</v>
      </c>
      <c r="F8" s="3">
        <v>44181</v>
      </c>
      <c r="G8" s="24">
        <f t="shared" si="0"/>
        <v>66.666666666666671</v>
      </c>
      <c r="H8" s="20" t="str">
        <f t="shared" si="1"/>
        <v>B</v>
      </c>
      <c r="I8" s="22" t="str">
        <f t="shared" si="2"/>
        <v>-</v>
      </c>
    </row>
    <row r="9" spans="1:9" ht="15" customHeight="1" thickBot="1" x14ac:dyDescent="0.4">
      <c r="A9" s="4">
        <v>1008</v>
      </c>
      <c r="B9" s="4" t="s">
        <v>13</v>
      </c>
      <c r="C9" s="4">
        <v>94</v>
      </c>
      <c r="D9" s="4">
        <v>67</v>
      </c>
      <c r="E9" s="4">
        <v>64</v>
      </c>
      <c r="F9" s="5">
        <v>44361</v>
      </c>
      <c r="G9" s="25">
        <f t="shared" si="0"/>
        <v>75</v>
      </c>
      <c r="H9" s="20" t="str">
        <f t="shared" si="1"/>
        <v>A</v>
      </c>
      <c r="I9" s="22" t="str">
        <f t="shared" si="2"/>
        <v>-</v>
      </c>
    </row>
    <row r="10" spans="1:9" ht="15" customHeight="1" thickBot="1" x14ac:dyDescent="0.4">
      <c r="A10" s="2">
        <v>1009</v>
      </c>
      <c r="B10" s="2" t="s">
        <v>14</v>
      </c>
      <c r="C10" s="2">
        <v>41</v>
      </c>
      <c r="D10" s="2">
        <v>75</v>
      </c>
      <c r="E10" s="2">
        <v>56</v>
      </c>
      <c r="F10" s="3">
        <v>44541</v>
      </c>
      <c r="G10" s="24">
        <f t="shared" si="0"/>
        <v>57.333333333333336</v>
      </c>
      <c r="H10" s="20" t="str">
        <f t="shared" si="1"/>
        <v>C</v>
      </c>
      <c r="I10" s="22" t="str">
        <f t="shared" si="2"/>
        <v>-</v>
      </c>
    </row>
    <row r="11" spans="1:9" ht="15" customHeight="1" thickBot="1" x14ac:dyDescent="0.4">
      <c r="A11" s="4">
        <v>1010</v>
      </c>
      <c r="B11" s="4" t="s">
        <v>15</v>
      </c>
      <c r="C11" s="4">
        <v>98</v>
      </c>
      <c r="D11" s="4">
        <v>54</v>
      </c>
      <c r="E11" s="4">
        <v>58</v>
      </c>
      <c r="F11" s="5">
        <v>44721</v>
      </c>
      <c r="G11" s="25">
        <f t="shared" si="0"/>
        <v>70</v>
      </c>
      <c r="H11" s="20" t="str">
        <f t="shared" si="1"/>
        <v>B</v>
      </c>
      <c r="I11" s="22" t="str">
        <f t="shared" si="2"/>
        <v>-</v>
      </c>
    </row>
    <row r="12" spans="1:9" ht="15" customHeight="1" thickBot="1" x14ac:dyDescent="0.4">
      <c r="A12" s="2">
        <v>1011</v>
      </c>
      <c r="B12" s="2" t="s">
        <v>16</v>
      </c>
      <c r="C12" s="2">
        <v>73</v>
      </c>
      <c r="D12" s="2">
        <v>79</v>
      </c>
      <c r="E12" s="2">
        <v>53</v>
      </c>
      <c r="F12" s="3">
        <v>44901</v>
      </c>
      <c r="G12" s="24">
        <f t="shared" si="0"/>
        <v>68.333333333333329</v>
      </c>
      <c r="H12" s="20" t="str">
        <f t="shared" si="1"/>
        <v>B</v>
      </c>
      <c r="I12" s="22" t="str">
        <f t="shared" si="2"/>
        <v>-</v>
      </c>
    </row>
    <row r="13" spans="1:9" ht="15" customHeight="1" thickBot="1" x14ac:dyDescent="0.4">
      <c r="A13" s="4">
        <v>1012</v>
      </c>
      <c r="B13" s="4" t="s">
        <v>17</v>
      </c>
      <c r="C13" s="4">
        <v>85</v>
      </c>
      <c r="D13" s="4">
        <v>89</v>
      </c>
      <c r="E13" s="4">
        <v>79</v>
      </c>
      <c r="F13" s="5">
        <v>45081</v>
      </c>
      <c r="G13" s="25">
        <f t="shared" si="0"/>
        <v>84.333333333333329</v>
      </c>
      <c r="H13" s="20" t="str">
        <f t="shared" si="1"/>
        <v>A</v>
      </c>
      <c r="I13" s="22" t="str">
        <f t="shared" si="2"/>
        <v>Student 12</v>
      </c>
    </row>
    <row r="14" spans="1:9" ht="15" customHeight="1" thickBot="1" x14ac:dyDescent="0.4">
      <c r="A14" s="2">
        <v>1013</v>
      </c>
      <c r="B14" s="2" t="s">
        <v>18</v>
      </c>
      <c r="C14" s="2">
        <v>98</v>
      </c>
      <c r="D14" s="2">
        <v>90</v>
      </c>
      <c r="E14" s="2">
        <v>97</v>
      </c>
      <c r="F14" s="3">
        <v>45261</v>
      </c>
      <c r="G14" s="24">
        <f t="shared" si="0"/>
        <v>95</v>
      </c>
      <c r="H14" s="20" t="str">
        <f t="shared" si="1"/>
        <v>A</v>
      </c>
      <c r="I14" s="22" t="str">
        <f t="shared" si="2"/>
        <v>Student 13</v>
      </c>
    </row>
    <row r="15" spans="1:9" ht="15" customHeight="1" thickBot="1" x14ac:dyDescent="0.4">
      <c r="A15" s="4">
        <v>1014</v>
      </c>
      <c r="B15" s="4" t="s">
        <v>19</v>
      </c>
      <c r="C15" s="4">
        <v>93</v>
      </c>
      <c r="D15" s="4">
        <v>40</v>
      </c>
      <c r="E15" s="4">
        <v>44</v>
      </c>
      <c r="F15" s="5">
        <v>45441</v>
      </c>
      <c r="G15" s="25">
        <f t="shared" si="0"/>
        <v>59</v>
      </c>
      <c r="H15" s="20" t="str">
        <f t="shared" si="1"/>
        <v>C</v>
      </c>
      <c r="I15" s="22" t="str">
        <f t="shared" si="2"/>
        <v>-</v>
      </c>
    </row>
    <row r="16" spans="1:9" ht="15" customHeight="1" thickBot="1" x14ac:dyDescent="0.4">
      <c r="A16" s="2">
        <v>1015</v>
      </c>
      <c r="B16" s="2" t="s">
        <v>20</v>
      </c>
      <c r="C16" s="2">
        <v>70</v>
      </c>
      <c r="D16" s="2">
        <v>51</v>
      </c>
      <c r="E16" s="2">
        <v>75</v>
      </c>
      <c r="F16" s="3">
        <v>45621</v>
      </c>
      <c r="G16" s="24">
        <f t="shared" si="0"/>
        <v>65.333333333333329</v>
      </c>
      <c r="H16" s="20" t="str">
        <f t="shared" si="1"/>
        <v>B</v>
      </c>
      <c r="I16" s="22" t="str">
        <f t="shared" si="2"/>
        <v>-</v>
      </c>
    </row>
    <row r="17" spans="1:9" ht="15" customHeight="1" thickBot="1" x14ac:dyDescent="0.4">
      <c r="A17" s="4">
        <v>1016</v>
      </c>
      <c r="B17" s="4" t="s">
        <v>21</v>
      </c>
      <c r="C17" s="4">
        <v>98</v>
      </c>
      <c r="D17" s="4">
        <v>77</v>
      </c>
      <c r="E17" s="4">
        <v>60</v>
      </c>
      <c r="F17" s="5">
        <v>45801</v>
      </c>
      <c r="G17" s="25">
        <f t="shared" si="0"/>
        <v>78.333333333333329</v>
      </c>
      <c r="H17" s="20" t="str">
        <f t="shared" si="1"/>
        <v>A</v>
      </c>
      <c r="I17" s="22" t="str">
        <f t="shared" si="2"/>
        <v>-</v>
      </c>
    </row>
    <row r="18" spans="1:9" ht="15" customHeight="1" thickBot="1" x14ac:dyDescent="0.4">
      <c r="A18" s="2">
        <v>1017</v>
      </c>
      <c r="B18" s="2" t="s">
        <v>22</v>
      </c>
      <c r="C18" s="2">
        <v>66</v>
      </c>
      <c r="D18" s="2">
        <v>59</v>
      </c>
      <c r="E18" s="2">
        <v>40</v>
      </c>
      <c r="F18" s="3">
        <v>45981</v>
      </c>
      <c r="G18" s="24">
        <f t="shared" si="0"/>
        <v>55</v>
      </c>
      <c r="H18" s="20" t="str">
        <f t="shared" si="1"/>
        <v>C</v>
      </c>
      <c r="I18" s="22" t="str">
        <f t="shared" si="2"/>
        <v>-</v>
      </c>
    </row>
    <row r="19" spans="1:9" ht="15" customHeight="1" thickBot="1" x14ac:dyDescent="0.4">
      <c r="A19" s="4">
        <v>1018</v>
      </c>
      <c r="B19" s="4" t="s">
        <v>23</v>
      </c>
      <c r="C19" s="4">
        <v>82</v>
      </c>
      <c r="D19" s="4">
        <v>48</v>
      </c>
      <c r="E19" s="4">
        <v>79</v>
      </c>
      <c r="F19" s="5">
        <v>46161</v>
      </c>
      <c r="G19" s="25">
        <f t="shared" si="0"/>
        <v>69.666666666666671</v>
      </c>
      <c r="H19" s="20" t="str">
        <f t="shared" si="1"/>
        <v>B</v>
      </c>
      <c r="I19" s="22" t="str">
        <f t="shared" si="2"/>
        <v>-</v>
      </c>
    </row>
    <row r="20" spans="1:9" ht="15" customHeight="1" thickBot="1" x14ac:dyDescent="0.4">
      <c r="A20" s="2">
        <v>1019</v>
      </c>
      <c r="B20" s="2" t="s">
        <v>24</v>
      </c>
      <c r="C20" s="2">
        <v>90</v>
      </c>
      <c r="D20" s="2">
        <v>78</v>
      </c>
      <c r="E20" s="2">
        <v>60</v>
      </c>
      <c r="F20" s="3">
        <v>46341</v>
      </c>
      <c r="G20" s="24">
        <f t="shared" si="0"/>
        <v>76</v>
      </c>
      <c r="H20" s="20" t="str">
        <f t="shared" si="1"/>
        <v>A</v>
      </c>
      <c r="I20" s="22" t="str">
        <f t="shared" si="2"/>
        <v>-</v>
      </c>
    </row>
    <row r="21" spans="1:9" ht="15" customHeight="1" thickBot="1" x14ac:dyDescent="0.4">
      <c r="A21" s="6">
        <v>1020</v>
      </c>
      <c r="B21" s="6" t="s">
        <v>25</v>
      </c>
      <c r="C21" s="6">
        <v>83</v>
      </c>
      <c r="D21" s="6">
        <v>92</v>
      </c>
      <c r="E21" s="6">
        <v>55</v>
      </c>
      <c r="F21" s="7">
        <v>46521</v>
      </c>
      <c r="G21" s="25">
        <f t="shared" si="0"/>
        <v>76.666666666666671</v>
      </c>
      <c r="H21" s="20" t="str">
        <f t="shared" si="1"/>
        <v>A</v>
      </c>
      <c r="I21" s="22" t="str">
        <f t="shared" si="2"/>
        <v>Student 20</v>
      </c>
    </row>
  </sheetData>
  <pageMargins left="0.7" right="0.7" top="0.75" bottom="0.75" header="0.3" footer="0.3"/>
  <ignoredErrors>
    <ignoredError sqref="G2:G2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="76" workbookViewId="0">
      <selection activeCell="J4" sqref="J4"/>
    </sheetView>
  </sheetViews>
  <sheetFormatPr defaultRowHeight="15.5" customHeight="1" x14ac:dyDescent="0.35"/>
  <cols>
    <col min="1" max="1" width="9.08984375" customWidth="1"/>
    <col min="2" max="2" width="11.81640625" customWidth="1"/>
    <col min="3" max="3" width="12.36328125" customWidth="1"/>
    <col min="4" max="4" width="13.08984375" customWidth="1"/>
    <col min="5" max="5" width="13.7265625" customWidth="1"/>
    <col min="6" max="6" width="20.81640625" customWidth="1"/>
    <col min="7" max="7" width="14.81640625" customWidth="1"/>
    <col min="8" max="8" width="16.6328125" customWidth="1"/>
    <col min="9" max="9" width="21.6328125" customWidth="1"/>
    <col min="10" max="10" width="19.7265625" customWidth="1"/>
  </cols>
  <sheetData>
    <row r="1" spans="1:8" ht="15.5" customHeight="1" thickBot="1" x14ac:dyDescent="0.4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26" t="s">
        <v>92</v>
      </c>
      <c r="H1" s="29" t="s">
        <v>93</v>
      </c>
    </row>
    <row r="2" spans="1:8" ht="15.5" customHeight="1" thickBot="1" x14ac:dyDescent="0.4">
      <c r="A2" s="9">
        <v>2001</v>
      </c>
      <c r="B2" s="9" t="s">
        <v>32</v>
      </c>
      <c r="C2" s="9" t="s">
        <v>33</v>
      </c>
      <c r="D2" s="9" t="s">
        <v>34</v>
      </c>
      <c r="E2" s="9">
        <v>7048</v>
      </c>
      <c r="F2" s="10">
        <v>44927</v>
      </c>
      <c r="G2" s="27">
        <f>IF(E2&gt;1000,E2*10%,FALSE)</f>
        <v>704.80000000000007</v>
      </c>
      <c r="H2" s="30" t="str">
        <f>IF(OR(C2="South",E2&gt;10000),"Eligible","Not Discount")</f>
        <v>Eligible</v>
      </c>
    </row>
    <row r="3" spans="1:8" ht="15.5" customHeight="1" thickBot="1" x14ac:dyDescent="0.4">
      <c r="A3" s="11">
        <v>2002</v>
      </c>
      <c r="B3" s="11" t="s">
        <v>35</v>
      </c>
      <c r="C3" s="11" t="s">
        <v>36</v>
      </c>
      <c r="D3" s="11" t="s">
        <v>37</v>
      </c>
      <c r="E3" s="11">
        <v>17428</v>
      </c>
      <c r="F3" s="12">
        <v>44942</v>
      </c>
      <c r="G3" s="27">
        <f t="shared" ref="G3:G21" si="0">IF(E3&gt;1000,E3*10%,FALSE)</f>
        <v>1742.8000000000002</v>
      </c>
      <c r="H3" s="30" t="str">
        <f t="shared" ref="H3:H21" si="1">IF(OR(C3="South",E3&gt;10000),"Eligible","Not Discount")</f>
        <v>Eligible</v>
      </c>
    </row>
    <row r="4" spans="1:8" ht="15.5" customHeight="1" thickBot="1" x14ac:dyDescent="0.4">
      <c r="A4" s="9">
        <v>2003</v>
      </c>
      <c r="B4" s="9" t="s">
        <v>38</v>
      </c>
      <c r="C4" s="9" t="s">
        <v>33</v>
      </c>
      <c r="D4" s="9" t="s">
        <v>39</v>
      </c>
      <c r="E4" s="9">
        <v>23672</v>
      </c>
      <c r="F4" s="13">
        <v>44957</v>
      </c>
      <c r="G4" s="27">
        <f t="shared" si="0"/>
        <v>2367.2000000000003</v>
      </c>
      <c r="H4" s="30" t="str">
        <f t="shared" si="1"/>
        <v>Eligible</v>
      </c>
    </row>
    <row r="5" spans="1:8" ht="15.5" customHeight="1" thickBot="1" x14ac:dyDescent="0.4">
      <c r="A5" s="11">
        <v>2004</v>
      </c>
      <c r="B5" s="11" t="s">
        <v>35</v>
      </c>
      <c r="C5" s="11" t="s">
        <v>40</v>
      </c>
      <c r="D5" s="11" t="s">
        <v>41</v>
      </c>
      <c r="E5" s="11">
        <v>5264</v>
      </c>
      <c r="F5" s="12">
        <v>44972</v>
      </c>
      <c r="G5" s="27">
        <f t="shared" si="0"/>
        <v>526.4</v>
      </c>
      <c r="H5" s="30" t="str">
        <f t="shared" si="1"/>
        <v>Not Discount</v>
      </c>
    </row>
    <row r="6" spans="1:8" ht="15.5" customHeight="1" thickBot="1" x14ac:dyDescent="0.4">
      <c r="A6" s="9">
        <v>2005</v>
      </c>
      <c r="B6" s="9" t="s">
        <v>32</v>
      </c>
      <c r="C6" s="9" t="s">
        <v>42</v>
      </c>
      <c r="D6" s="9" t="s">
        <v>43</v>
      </c>
      <c r="E6" s="9">
        <v>43388</v>
      </c>
      <c r="F6" s="13">
        <v>44987</v>
      </c>
      <c r="G6" s="27">
        <f t="shared" si="0"/>
        <v>4338.8</v>
      </c>
      <c r="H6" s="30" t="str">
        <f t="shared" si="1"/>
        <v>Eligible</v>
      </c>
    </row>
    <row r="7" spans="1:8" ht="15.5" customHeight="1" thickBot="1" x14ac:dyDescent="0.4">
      <c r="A7" s="11">
        <v>2006</v>
      </c>
      <c r="B7" s="11" t="s">
        <v>38</v>
      </c>
      <c r="C7" s="11" t="s">
        <v>42</v>
      </c>
      <c r="D7" s="11" t="s">
        <v>44</v>
      </c>
      <c r="E7" s="11">
        <v>19757</v>
      </c>
      <c r="F7" s="12">
        <v>45002</v>
      </c>
      <c r="G7" s="27">
        <f t="shared" si="0"/>
        <v>1975.7</v>
      </c>
      <c r="H7" s="30" t="str">
        <f t="shared" si="1"/>
        <v>Eligible</v>
      </c>
    </row>
    <row r="8" spans="1:8" ht="15.5" customHeight="1" thickBot="1" x14ac:dyDescent="0.4">
      <c r="A8" s="9">
        <v>2007</v>
      </c>
      <c r="B8" s="9" t="s">
        <v>38</v>
      </c>
      <c r="C8" s="9" t="s">
        <v>40</v>
      </c>
      <c r="D8" s="9" t="s">
        <v>45</v>
      </c>
      <c r="E8" s="9">
        <v>32058</v>
      </c>
      <c r="F8" s="13">
        <v>45017</v>
      </c>
      <c r="G8" s="27">
        <f t="shared" si="0"/>
        <v>3205.8</v>
      </c>
      <c r="H8" s="30" t="str">
        <f t="shared" si="1"/>
        <v>Eligible</v>
      </c>
    </row>
    <row r="9" spans="1:8" ht="15.5" customHeight="1" thickBot="1" x14ac:dyDescent="0.4">
      <c r="A9" s="11">
        <v>2008</v>
      </c>
      <c r="B9" s="11" t="s">
        <v>32</v>
      </c>
      <c r="C9" s="11" t="s">
        <v>40</v>
      </c>
      <c r="D9" s="11" t="s">
        <v>46</v>
      </c>
      <c r="E9" s="11">
        <v>46429</v>
      </c>
      <c r="F9" s="12">
        <v>45032</v>
      </c>
      <c r="G9" s="27">
        <f t="shared" si="0"/>
        <v>4642.9000000000005</v>
      </c>
      <c r="H9" s="30" t="str">
        <f t="shared" si="1"/>
        <v>Eligible</v>
      </c>
    </row>
    <row r="10" spans="1:8" ht="15.5" customHeight="1" thickBot="1" x14ac:dyDescent="0.4">
      <c r="A10" s="9">
        <v>2009</v>
      </c>
      <c r="B10" s="9" t="s">
        <v>35</v>
      </c>
      <c r="C10" s="9" t="s">
        <v>40</v>
      </c>
      <c r="D10" s="9" t="s">
        <v>47</v>
      </c>
      <c r="E10" s="9">
        <v>19746</v>
      </c>
      <c r="F10" s="13">
        <v>45047</v>
      </c>
      <c r="G10" s="27">
        <f t="shared" si="0"/>
        <v>1974.6000000000001</v>
      </c>
      <c r="H10" s="30" t="str">
        <f t="shared" si="1"/>
        <v>Eligible</v>
      </c>
    </row>
    <row r="11" spans="1:8" ht="15.5" customHeight="1" thickBot="1" x14ac:dyDescent="0.4">
      <c r="A11" s="11">
        <v>2010</v>
      </c>
      <c r="B11" s="11" t="s">
        <v>32</v>
      </c>
      <c r="C11" s="11" t="s">
        <v>33</v>
      </c>
      <c r="D11" s="11" t="s">
        <v>48</v>
      </c>
      <c r="E11" s="11">
        <v>35185</v>
      </c>
      <c r="F11" s="12">
        <v>45062</v>
      </c>
      <c r="G11" s="27">
        <f t="shared" si="0"/>
        <v>3518.5</v>
      </c>
      <c r="H11" s="30" t="str">
        <f t="shared" si="1"/>
        <v>Eligible</v>
      </c>
    </row>
    <row r="12" spans="1:8" ht="15.5" customHeight="1" thickBot="1" x14ac:dyDescent="0.4">
      <c r="A12" s="9">
        <v>2011</v>
      </c>
      <c r="B12" s="9" t="s">
        <v>32</v>
      </c>
      <c r="C12" s="9" t="s">
        <v>40</v>
      </c>
      <c r="D12" s="9" t="s">
        <v>49</v>
      </c>
      <c r="E12" s="9">
        <v>33920</v>
      </c>
      <c r="F12" s="13">
        <v>45077</v>
      </c>
      <c r="G12" s="27">
        <f t="shared" si="0"/>
        <v>3392</v>
      </c>
      <c r="H12" s="30" t="str">
        <f t="shared" si="1"/>
        <v>Eligible</v>
      </c>
    </row>
    <row r="13" spans="1:8" ht="15.5" customHeight="1" thickBot="1" x14ac:dyDescent="0.4">
      <c r="A13" s="11">
        <v>2012</v>
      </c>
      <c r="B13" s="11" t="s">
        <v>50</v>
      </c>
      <c r="C13" s="11" t="s">
        <v>42</v>
      </c>
      <c r="D13" s="11" t="s">
        <v>51</v>
      </c>
      <c r="E13" s="11">
        <v>35611</v>
      </c>
      <c r="F13" s="12">
        <v>45092</v>
      </c>
      <c r="G13" s="27">
        <f t="shared" si="0"/>
        <v>3561.1000000000004</v>
      </c>
      <c r="H13" s="30" t="str">
        <f t="shared" si="1"/>
        <v>Eligible</v>
      </c>
    </row>
    <row r="14" spans="1:8" ht="15.5" customHeight="1" thickBot="1" x14ac:dyDescent="0.4">
      <c r="A14" s="9">
        <v>2013</v>
      </c>
      <c r="B14" s="9" t="s">
        <v>52</v>
      </c>
      <c r="C14" s="9" t="s">
        <v>40</v>
      </c>
      <c r="D14" s="9" t="s">
        <v>53</v>
      </c>
      <c r="E14" s="9">
        <v>15560</v>
      </c>
      <c r="F14" s="13">
        <v>45107</v>
      </c>
      <c r="G14" s="27">
        <f t="shared" si="0"/>
        <v>1556</v>
      </c>
      <c r="H14" s="30" t="str">
        <f t="shared" si="1"/>
        <v>Eligible</v>
      </c>
    </row>
    <row r="15" spans="1:8" ht="15.5" customHeight="1" thickBot="1" x14ac:dyDescent="0.4">
      <c r="A15" s="11">
        <v>2014</v>
      </c>
      <c r="B15" s="11" t="s">
        <v>52</v>
      </c>
      <c r="C15" s="11" t="s">
        <v>33</v>
      </c>
      <c r="D15" s="11" t="s">
        <v>54</v>
      </c>
      <c r="E15" s="11">
        <v>7283</v>
      </c>
      <c r="F15" s="12">
        <v>45122</v>
      </c>
      <c r="G15" s="27">
        <f t="shared" si="0"/>
        <v>728.30000000000007</v>
      </c>
      <c r="H15" s="30" t="str">
        <f t="shared" si="1"/>
        <v>Eligible</v>
      </c>
    </row>
    <row r="16" spans="1:8" ht="15.5" customHeight="1" thickBot="1" x14ac:dyDescent="0.4">
      <c r="A16" s="9">
        <v>2015</v>
      </c>
      <c r="B16" s="9" t="s">
        <v>52</v>
      </c>
      <c r="C16" s="9" t="s">
        <v>40</v>
      </c>
      <c r="D16" s="9" t="s">
        <v>55</v>
      </c>
      <c r="E16" s="9">
        <v>15678</v>
      </c>
      <c r="F16" s="13">
        <v>45137</v>
      </c>
      <c r="G16" s="27">
        <f t="shared" si="0"/>
        <v>1567.8000000000002</v>
      </c>
      <c r="H16" s="30" t="str">
        <f t="shared" si="1"/>
        <v>Eligible</v>
      </c>
    </row>
    <row r="17" spans="1:8" ht="15.5" customHeight="1" thickBot="1" x14ac:dyDescent="0.4">
      <c r="A17" s="11">
        <v>2016</v>
      </c>
      <c r="B17" s="11" t="s">
        <v>38</v>
      </c>
      <c r="C17" s="11" t="s">
        <v>40</v>
      </c>
      <c r="D17" s="11" t="s">
        <v>56</v>
      </c>
      <c r="E17" s="11">
        <v>5277</v>
      </c>
      <c r="F17" s="12">
        <v>45152</v>
      </c>
      <c r="G17" s="27">
        <f t="shared" si="0"/>
        <v>527.70000000000005</v>
      </c>
      <c r="H17" s="30" t="str">
        <f t="shared" si="1"/>
        <v>Not Discount</v>
      </c>
    </row>
    <row r="18" spans="1:8" ht="15.5" customHeight="1" thickBot="1" x14ac:dyDescent="0.4">
      <c r="A18" s="9">
        <v>2017</v>
      </c>
      <c r="B18" s="9" t="s">
        <v>50</v>
      </c>
      <c r="C18" s="9" t="s">
        <v>42</v>
      </c>
      <c r="D18" s="9" t="s">
        <v>57</v>
      </c>
      <c r="E18" s="9">
        <v>41871</v>
      </c>
      <c r="F18" s="13">
        <v>45167</v>
      </c>
      <c r="G18" s="27">
        <f t="shared" si="0"/>
        <v>4187.1000000000004</v>
      </c>
      <c r="H18" s="30" t="str">
        <f t="shared" si="1"/>
        <v>Eligible</v>
      </c>
    </row>
    <row r="19" spans="1:8" ht="15.5" customHeight="1" thickBot="1" x14ac:dyDescent="0.4">
      <c r="A19" s="11">
        <v>2018</v>
      </c>
      <c r="B19" s="11" t="s">
        <v>50</v>
      </c>
      <c r="C19" s="11" t="s">
        <v>36</v>
      </c>
      <c r="D19" s="11" t="s">
        <v>58</v>
      </c>
      <c r="E19" s="11">
        <v>38161</v>
      </c>
      <c r="F19" s="12">
        <v>45182</v>
      </c>
      <c r="G19" s="27">
        <f t="shared" si="0"/>
        <v>3816.1000000000004</v>
      </c>
      <c r="H19" s="30" t="str">
        <f t="shared" si="1"/>
        <v>Eligible</v>
      </c>
    </row>
    <row r="20" spans="1:8" ht="15.5" customHeight="1" thickBot="1" x14ac:dyDescent="0.4">
      <c r="A20" s="9">
        <v>2019</v>
      </c>
      <c r="B20" s="9" t="s">
        <v>38</v>
      </c>
      <c r="C20" s="9" t="s">
        <v>36</v>
      </c>
      <c r="D20" s="9" t="s">
        <v>59</v>
      </c>
      <c r="E20" s="9">
        <v>30436</v>
      </c>
      <c r="F20" s="13">
        <v>45197</v>
      </c>
      <c r="G20" s="27">
        <f t="shared" si="0"/>
        <v>3043.6000000000004</v>
      </c>
      <c r="H20" s="30" t="str">
        <f t="shared" si="1"/>
        <v>Eligible</v>
      </c>
    </row>
    <row r="21" spans="1:8" ht="15.5" customHeight="1" thickBot="1" x14ac:dyDescent="0.4">
      <c r="A21" s="14">
        <v>2020</v>
      </c>
      <c r="B21" s="14" t="s">
        <v>35</v>
      </c>
      <c r="C21" s="14" t="s">
        <v>36</v>
      </c>
      <c r="D21" s="14" t="s">
        <v>60</v>
      </c>
      <c r="E21" s="14">
        <v>33953</v>
      </c>
      <c r="F21" s="15">
        <v>45212</v>
      </c>
      <c r="G21" s="28">
        <f t="shared" si="0"/>
        <v>3395.3</v>
      </c>
      <c r="H21" s="30" t="str">
        <f t="shared" si="1"/>
        <v>Eligible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F4" sqref="F4"/>
    </sheetView>
  </sheetViews>
  <sheetFormatPr defaultColWidth="14.36328125" defaultRowHeight="17.5" customHeight="1" x14ac:dyDescent="0.35"/>
  <cols>
    <col min="5" max="5" width="21.7265625" customWidth="1"/>
  </cols>
  <sheetData>
    <row r="1" spans="1:5" ht="17.5" customHeight="1" thickBot="1" x14ac:dyDescent="0.4">
      <c r="A1" s="8" t="s">
        <v>61</v>
      </c>
      <c r="B1" s="8" t="s">
        <v>1</v>
      </c>
      <c r="C1" s="8" t="s">
        <v>62</v>
      </c>
      <c r="D1" s="8" t="s">
        <v>63</v>
      </c>
      <c r="E1" s="8" t="s">
        <v>64</v>
      </c>
    </row>
    <row r="2" spans="1:5" ht="17.5" customHeight="1" thickBot="1" x14ac:dyDescent="0.4">
      <c r="A2" s="16">
        <v>3001</v>
      </c>
      <c r="B2" s="16" t="s">
        <v>65</v>
      </c>
      <c r="C2" s="16" t="s">
        <v>66</v>
      </c>
      <c r="D2" s="16">
        <v>86766</v>
      </c>
      <c r="E2" s="17">
        <v>42005</v>
      </c>
    </row>
    <row r="3" spans="1:5" ht="17.5" customHeight="1" thickBot="1" x14ac:dyDescent="0.4">
      <c r="A3" s="11">
        <v>3002</v>
      </c>
      <c r="B3" s="11" t="s">
        <v>67</v>
      </c>
      <c r="C3" s="11" t="s">
        <v>66</v>
      </c>
      <c r="D3" s="11">
        <v>31943</v>
      </c>
      <c r="E3" s="12">
        <v>42255</v>
      </c>
    </row>
    <row r="4" spans="1:5" ht="17.5" customHeight="1" thickBot="1" x14ac:dyDescent="0.4">
      <c r="A4" s="16">
        <v>3003</v>
      </c>
      <c r="B4" s="16" t="s">
        <v>68</v>
      </c>
      <c r="C4" s="16" t="s">
        <v>69</v>
      </c>
      <c r="D4" s="16">
        <v>63374</v>
      </c>
      <c r="E4" s="18">
        <v>42505</v>
      </c>
    </row>
    <row r="5" spans="1:5" ht="17.5" customHeight="1" thickBot="1" x14ac:dyDescent="0.4">
      <c r="A5" s="11">
        <v>3004</v>
      </c>
      <c r="B5" s="11" t="s">
        <v>70</v>
      </c>
      <c r="C5" s="11" t="s">
        <v>66</v>
      </c>
      <c r="D5" s="11">
        <v>109972</v>
      </c>
      <c r="E5" s="12">
        <v>42755</v>
      </c>
    </row>
    <row r="6" spans="1:5" ht="17.5" customHeight="1" thickBot="1" x14ac:dyDescent="0.4">
      <c r="A6" s="16">
        <v>3005</v>
      </c>
      <c r="B6" s="16" t="s">
        <v>71</v>
      </c>
      <c r="C6" s="16" t="s">
        <v>72</v>
      </c>
      <c r="D6" s="16">
        <v>54149</v>
      </c>
      <c r="E6" s="18">
        <v>43005</v>
      </c>
    </row>
    <row r="7" spans="1:5" ht="17.5" customHeight="1" thickBot="1" x14ac:dyDescent="0.4">
      <c r="A7" s="11">
        <v>3006</v>
      </c>
      <c r="B7" s="11" t="s">
        <v>73</v>
      </c>
      <c r="C7" s="11" t="s">
        <v>72</v>
      </c>
      <c r="D7" s="11">
        <v>78689</v>
      </c>
      <c r="E7" s="12">
        <v>43255</v>
      </c>
    </row>
    <row r="8" spans="1:5" ht="17.5" customHeight="1" thickBot="1" x14ac:dyDescent="0.4">
      <c r="A8" s="16">
        <v>3007</v>
      </c>
      <c r="B8" s="16" t="s">
        <v>74</v>
      </c>
      <c r="C8" s="16" t="s">
        <v>75</v>
      </c>
      <c r="D8" s="16">
        <v>35960</v>
      </c>
      <c r="E8" s="18">
        <v>43505</v>
      </c>
    </row>
    <row r="9" spans="1:5" ht="17.5" customHeight="1" thickBot="1" x14ac:dyDescent="0.4">
      <c r="A9" s="11">
        <v>3008</v>
      </c>
      <c r="B9" s="11" t="s">
        <v>76</v>
      </c>
      <c r="C9" s="11" t="s">
        <v>72</v>
      </c>
      <c r="D9" s="11">
        <v>91659</v>
      </c>
      <c r="E9" s="12">
        <v>43755</v>
      </c>
    </row>
    <row r="10" spans="1:5" ht="17.5" customHeight="1" thickBot="1" x14ac:dyDescent="0.4">
      <c r="A10" s="16">
        <v>3009</v>
      </c>
      <c r="B10" s="16" t="s">
        <v>77</v>
      </c>
      <c r="C10" s="16" t="s">
        <v>72</v>
      </c>
      <c r="D10" s="16">
        <v>90423</v>
      </c>
      <c r="E10" s="18">
        <v>44005</v>
      </c>
    </row>
    <row r="11" spans="1:5" ht="17.5" customHeight="1" thickBot="1" x14ac:dyDescent="0.4">
      <c r="A11" s="11">
        <v>3010</v>
      </c>
      <c r="B11" s="11" t="s">
        <v>78</v>
      </c>
      <c r="C11" s="11" t="s">
        <v>69</v>
      </c>
      <c r="D11" s="11">
        <v>107877</v>
      </c>
      <c r="E11" s="12">
        <v>44255</v>
      </c>
    </row>
    <row r="12" spans="1:5" ht="17.5" customHeight="1" thickBot="1" x14ac:dyDescent="0.4">
      <c r="A12" s="16">
        <v>3011</v>
      </c>
      <c r="B12" s="16" t="s">
        <v>79</v>
      </c>
      <c r="C12" s="16" t="s">
        <v>66</v>
      </c>
      <c r="D12" s="16">
        <v>107634</v>
      </c>
      <c r="E12" s="18">
        <v>44505</v>
      </c>
    </row>
    <row r="13" spans="1:5" ht="17.5" customHeight="1" thickBot="1" x14ac:dyDescent="0.4">
      <c r="A13" s="11">
        <v>3012</v>
      </c>
      <c r="B13" s="11" t="s">
        <v>80</v>
      </c>
      <c r="C13" s="11" t="s">
        <v>66</v>
      </c>
      <c r="D13" s="11">
        <v>35226</v>
      </c>
      <c r="E13" s="12">
        <v>44755</v>
      </c>
    </row>
    <row r="14" spans="1:5" ht="17.5" customHeight="1" thickBot="1" x14ac:dyDescent="0.4">
      <c r="A14" s="16">
        <v>3013</v>
      </c>
      <c r="B14" s="16" t="s">
        <v>81</v>
      </c>
      <c r="C14" s="16" t="s">
        <v>69</v>
      </c>
      <c r="D14" s="16">
        <v>40872</v>
      </c>
      <c r="E14" s="18">
        <v>45005</v>
      </c>
    </row>
    <row r="15" spans="1:5" ht="17.5" customHeight="1" thickBot="1" x14ac:dyDescent="0.4">
      <c r="A15" s="11">
        <v>3014</v>
      </c>
      <c r="B15" s="11" t="s">
        <v>82</v>
      </c>
      <c r="C15" s="11" t="s">
        <v>69</v>
      </c>
      <c r="D15" s="11">
        <v>55378</v>
      </c>
      <c r="E15" s="12">
        <v>45255</v>
      </c>
    </row>
    <row r="16" spans="1:5" ht="17.5" customHeight="1" thickBot="1" x14ac:dyDescent="0.4">
      <c r="A16" s="16">
        <v>3015</v>
      </c>
      <c r="B16" s="16" t="s">
        <v>83</v>
      </c>
      <c r="C16" s="16" t="s">
        <v>69</v>
      </c>
      <c r="D16" s="16">
        <v>63297</v>
      </c>
      <c r="E16" s="18">
        <v>45505</v>
      </c>
    </row>
    <row r="17" spans="1:5" ht="17.5" customHeight="1" thickBot="1" x14ac:dyDescent="0.4">
      <c r="A17" s="11">
        <v>3016</v>
      </c>
      <c r="B17" s="11" t="s">
        <v>84</v>
      </c>
      <c r="C17" s="11" t="s">
        <v>66</v>
      </c>
      <c r="D17" s="11">
        <v>114173</v>
      </c>
      <c r="E17" s="12">
        <v>45755</v>
      </c>
    </row>
    <row r="18" spans="1:5" ht="17.5" customHeight="1" thickBot="1" x14ac:dyDescent="0.4">
      <c r="A18" s="16">
        <v>3017</v>
      </c>
      <c r="B18" s="16" t="s">
        <v>85</v>
      </c>
      <c r="C18" s="16" t="s">
        <v>69</v>
      </c>
      <c r="D18" s="16">
        <v>86915</v>
      </c>
      <c r="E18" s="18">
        <v>46005</v>
      </c>
    </row>
    <row r="19" spans="1:5" ht="17.5" customHeight="1" thickBot="1" x14ac:dyDescent="0.4">
      <c r="A19" s="11">
        <v>3018</v>
      </c>
      <c r="B19" s="11" t="s">
        <v>86</v>
      </c>
      <c r="C19" s="11" t="s">
        <v>72</v>
      </c>
      <c r="D19" s="11">
        <v>116284</v>
      </c>
      <c r="E19" s="12">
        <v>46255</v>
      </c>
    </row>
    <row r="20" spans="1:5" ht="17.5" customHeight="1" thickBot="1" x14ac:dyDescent="0.4">
      <c r="A20" s="16">
        <v>3019</v>
      </c>
      <c r="B20" s="16" t="s">
        <v>87</v>
      </c>
      <c r="C20" s="16" t="s">
        <v>75</v>
      </c>
      <c r="D20" s="16">
        <v>116283</v>
      </c>
      <c r="E20" s="18">
        <v>46505</v>
      </c>
    </row>
    <row r="21" spans="1:5" ht="17.5" customHeight="1" thickBot="1" x14ac:dyDescent="0.4">
      <c r="A21" s="14">
        <v>3020</v>
      </c>
      <c r="B21" s="14" t="s">
        <v>88</v>
      </c>
      <c r="C21" s="14" t="s">
        <v>75</v>
      </c>
      <c r="D21" s="14">
        <v>99924</v>
      </c>
      <c r="E21" s="15">
        <v>46755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stu.data</vt:lpstr>
      <vt:lpstr>sales data</vt:lpstr>
      <vt:lpstr>emp.data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2026-02-07T16:18:19Z</dcterms:created>
  <dcterms:modified xsi:type="dcterms:W3CDTF">2026-02-08T18:00:56Z</dcterms:modified>
</cp:coreProperties>
</file>