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bookViews>
    <workbookView xWindow="0" yWindow="0" windowWidth="19200" windowHeight="6900"/>
  </bookViews>
  <sheets>
    <sheet name="stu.data" sheetId="1" r:id="rId1"/>
    <sheet name="sales data" sheetId="2" r:id="rId2"/>
    <sheet name="emp.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3" l="1"/>
  <c r="M25" i="3"/>
  <c r="O22" i="2"/>
  <c r="P22" i="2"/>
  <c r="Q22" i="2"/>
  <c r="N22" i="2"/>
  <c r="T22" i="1"/>
  <c r="R22" i="1"/>
  <c r="S22" i="1"/>
  <c r="Q22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J22" i="3"/>
  <c r="I14" i="3"/>
  <c r="J18" i="3"/>
  <c r="J10" i="3"/>
  <c r="J6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N18" i="2"/>
  <c r="N14" i="2"/>
  <c r="N10" i="2"/>
  <c r="M6" i="2"/>
  <c r="N2" i="2"/>
  <c r="K18" i="2"/>
  <c r="K14" i="2"/>
  <c r="K10" i="2"/>
  <c r="J6" i="2"/>
  <c r="K2" i="2"/>
  <c r="P18" i="1"/>
  <c r="Q14" i="1"/>
  <c r="P10" i="1"/>
  <c r="P6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2" i="1" a="1"/>
  <c r="M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Q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21" i="1"/>
  <c r="H21" i="1" s="1"/>
  <c r="G20" i="1"/>
  <c r="H20" i="1" s="1"/>
  <c r="G19" i="1"/>
  <c r="G18" i="1"/>
  <c r="G17" i="1"/>
  <c r="G16" i="1"/>
  <c r="H16" i="1" s="1"/>
  <c r="G15" i="1"/>
  <c r="H15" i="1" s="1"/>
  <c r="G14" i="1"/>
  <c r="G13" i="1"/>
  <c r="H13" i="1" s="1"/>
  <c r="G12" i="1"/>
  <c r="H12" i="1" s="1"/>
  <c r="G11" i="1"/>
  <c r="G10" i="1"/>
  <c r="G9" i="1"/>
  <c r="G8" i="1"/>
  <c r="H8" i="1" s="1"/>
  <c r="G7" i="1"/>
  <c r="H7" i="1" s="1"/>
  <c r="G6" i="1"/>
  <c r="G5" i="1"/>
  <c r="H5" i="1" s="1"/>
  <c r="G4" i="1"/>
  <c r="H4" i="1" s="1"/>
  <c r="G3" i="1"/>
  <c r="G2" i="1"/>
  <c r="H2" i="1" s="1"/>
  <c r="H19" i="1"/>
  <c r="H18" i="1"/>
  <c r="H17" i="1"/>
  <c r="H14" i="1"/>
  <c r="H11" i="1"/>
  <c r="H10" i="1"/>
  <c r="H9" i="1"/>
  <c r="H6" i="1"/>
  <c r="H3" i="1"/>
</calcChain>
</file>

<file path=xl/sharedStrings.xml><?xml version="1.0" encoding="utf-8"?>
<sst xmlns="http://schemas.openxmlformats.org/spreadsheetml/2006/main" count="218" uniqueCount="135">
  <si>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</si>
  <si>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</si>
  <si>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</si>
  <si>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</si>
  <si>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</si>
  <si>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</si>
  <si>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</si>
  <si>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</si>
  <si>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</si>
  <si>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</si>
  <si>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</si>
  <si>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</si>
  <si>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</si>
  <si>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</si>
  <si>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</si>
  <si>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</si>
  <si>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</si>
  <si>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</si>
  <si>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</si>
  <si>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</si>
  <si>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</si>
  <si>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</si>
  <si>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</si>
  <si>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</si>
  <si>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</si>
  <si>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</si>
  <si>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</si>
  <si>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</si>
  <si>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</si>
  <si>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</si>
  <si>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</si>
  <si>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</si>
  <si>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</si>
  <si>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</si>
  <si>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</si>
  <si>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</si>
  <si>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</si>
  <si>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</si>
  <si>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</si>
  <si>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</si>
  <si>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</si>
  <si>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</si>
  <si>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</si>
  <si>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</si>
  <si>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</si>
  <si>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</si>
  <si>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</si>
  <si>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</si>
  <si>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</si>
  <si>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</si>
  <si>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</si>
  <si>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</si>
  <si>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</si>
  <si>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</si>
  <si>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</si>
  <si>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</si>
  <si>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</si>
  <si>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</si>
  <si>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</si>
  <si>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</si>
  <si>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</si>
  <si>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</si>
  <si>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</si>
  <si>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</si>
  <si>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</si>
  <si>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</si>
  <si>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</si>
  <si>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</si>
  <si>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</si>
  <si>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</si>
  <si>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</si>
  <si>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</si>
  <si>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</si>
  <si>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</si>
  <si>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</si>
  <si>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</si>
  <si>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</si>
  <si>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</si>
  <si>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</si>
  <si>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</si>
  <si>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</si>
  <si>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</si>
  <si>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</si>
  <si>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</si>
  <si>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</si>
  <si>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</si>
  <si>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</si>
  <si>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</si>
  <si>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</si>
  <si>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</si>
  <si>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Average</t>
  </si>
  <si>
    <t>Math's &amp; Science 80 up Score</t>
  </si>
  <si>
    <t>Discount</t>
  </si>
  <si>
    <t>Pro.Discount</t>
  </si>
  <si>
    <t>Round Fig.</t>
  </si>
  <si>
    <t>Ceiling</t>
  </si>
  <si>
    <t>Floor</t>
  </si>
  <si>
    <t>Filter</t>
  </si>
  <si>
    <t>Different</t>
  </si>
  <si>
    <t>Scoring above 60</t>
  </si>
  <si>
    <t>Above 50 Math's</t>
  </si>
  <si>
    <t>Above 60 Avg.</t>
  </si>
  <si>
    <t>Student Id</t>
  </si>
  <si>
    <t>Student Name</t>
  </si>
  <si>
    <t>Pro.Name</t>
  </si>
  <si>
    <t>Price</t>
  </si>
  <si>
    <t>Category Total</t>
  </si>
  <si>
    <t>Pro.Id</t>
  </si>
  <si>
    <t>Pro.Price</t>
  </si>
  <si>
    <t>Person Name</t>
  </si>
  <si>
    <t>Pro.name</t>
  </si>
  <si>
    <t>Position</t>
  </si>
  <si>
    <t>Offset</t>
  </si>
  <si>
    <t>Month</t>
  </si>
  <si>
    <t>Lookup</t>
  </si>
  <si>
    <t>E19</t>
  </si>
  <si>
    <t>Index</t>
  </si>
  <si>
    <t>Upper case</t>
  </si>
  <si>
    <t>Lower case</t>
  </si>
  <si>
    <t>Emp.Name</t>
  </si>
  <si>
    <t>Dy.Salary</t>
  </si>
  <si>
    <t>Emp.name</t>
  </si>
  <si>
    <t>Find name</t>
  </si>
  <si>
    <t>Per.name</t>
  </si>
  <si>
    <t>Data</t>
  </si>
  <si>
    <t>Extract day</t>
  </si>
  <si>
    <t>Extract month</t>
  </si>
  <si>
    <t>Extract year</t>
  </si>
  <si>
    <t>Sales per. name</t>
  </si>
  <si>
    <t>per. name</t>
  </si>
  <si>
    <t>ID</t>
  </si>
  <si>
    <t>Display List</t>
  </si>
  <si>
    <t># XLOOKUP, XMATCH,</t>
  </si>
  <si>
    <t>FILTER fun.is not</t>
  </si>
  <si>
    <t>available in my excel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</si>
</sst>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6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5"/>
      </patternFill>
    </fill>
    <fill>
      <patternFill patternType="solid">
        <fgColor theme="0" tint="-0.499984740745262"/>
        <bgColor theme="5" tint="0.59999389629810485"/>
      </patternFill>
    </fill>
    <fill>
      <patternFill patternType="solid">
        <fgColor theme="9"/>
        <bgColor theme="8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59999389629810485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2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22" fontId="0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2" fontId="0" fillId="0" borderId="3" xfId="0" applyNumberFormat="1" applyFont="1" applyBorder="1" applyAlignment="1">
      <alignment horizontal="center" vertical="center" wrapText="1"/>
    </xf>
    <xf numFmtId="22" fontId="0" fillId="4" borderId="3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22" fontId="0" fillId="0" borderId="4" xfId="0" applyNumberFormat="1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22" fontId="0" fillId="5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164" fontId="0" fillId="12" borderId="8" xfId="0" applyNumberFormat="1" applyFont="1" applyFill="1" applyBorder="1" applyAlignment="1">
      <alignment horizontal="center" vertical="center"/>
    </xf>
    <xf numFmtId="164" fontId="0" fillId="12" borderId="7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0" fillId="1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6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0" fillId="20" borderId="5" xfId="0" applyFont="1" applyFill="1" applyBorder="1" applyAlignment="1">
      <alignment horizontal="center" vertical="center"/>
    </xf>
    <xf numFmtId="0" fontId="0" fillId="21" borderId="6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0" fillId="20" borderId="6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/>
    </xf>
    <xf numFmtId="0" fontId="0" fillId="24" borderId="6" xfId="0" applyFont="1" applyFill="1" applyBorder="1" applyAlignment="1">
      <alignment horizontal="center" vertical="center"/>
    </xf>
    <xf numFmtId="164" fontId="0" fillId="24" borderId="14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4" fontId="0" fillId="20" borderId="6" xfId="0" applyNumberFormat="1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 wrapText="1"/>
    </xf>
    <xf numFmtId="22" fontId="0" fillId="0" borderId="2" xfId="0" applyNumberFormat="1" applyFont="1" applyBorder="1" applyAlignment="1">
      <alignment horizontal="center" vertical="center" wrapText="1"/>
    </xf>
    <xf numFmtId="0" fontId="0" fillId="25" borderId="14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/>
    </xf>
    <xf numFmtId="0" fontId="2" fillId="30" borderId="6" xfId="0" applyFont="1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164" fontId="0" fillId="29" borderId="6" xfId="0" applyNumberFormat="1" applyFill="1" applyBorder="1" applyAlignment="1">
      <alignment horizontal="center" vertical="center"/>
    </xf>
    <xf numFmtId="0" fontId="2" fillId="36" borderId="6" xfId="0" applyFont="1" applyFill="1" applyBorder="1" applyAlignment="1">
      <alignment horizontal="center" vertical="center"/>
    </xf>
    <xf numFmtId="0" fontId="2" fillId="38" borderId="6" xfId="0" applyFont="1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164" fontId="0" fillId="39" borderId="6" xfId="0" applyNumberFormat="1" applyFill="1" applyBorder="1"/>
    <xf numFmtId="0" fontId="2" fillId="40" borderId="6" xfId="0" applyFont="1" applyFill="1" applyBorder="1" applyAlignment="1">
      <alignment horizontal="center" vertical="center"/>
    </xf>
    <xf numFmtId="164" fontId="0" fillId="26" borderId="6" xfId="0" applyNumberFormat="1" applyFill="1" applyBorder="1"/>
    <xf numFmtId="0" fontId="0" fillId="20" borderId="14" xfId="0" applyFont="1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 vertical="center" wrapText="1"/>
    </xf>
    <xf numFmtId="166" fontId="0" fillId="5" borderId="6" xfId="0" applyNumberFormat="1" applyFont="1" applyFill="1" applyBorder="1" applyAlignment="1">
      <alignment horizontal="center" vertical="center" wrapText="1"/>
    </xf>
    <xf numFmtId="166" fontId="0" fillId="0" borderId="6" xfId="0" applyNumberFormat="1" applyFont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vertical="center"/>
    </xf>
    <xf numFmtId="0" fontId="2" fillId="41" borderId="6" xfId="0" applyFont="1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2" fillId="42" borderId="6" xfId="0" applyFont="1" applyFill="1" applyBorder="1" applyAlignment="1">
      <alignment horizontal="center" vertical="center"/>
    </xf>
    <xf numFmtId="14" fontId="0" fillId="35" borderId="6" xfId="0" applyNumberFormat="1" applyFill="1" applyBorder="1" applyAlignment="1">
      <alignment horizontal="center" vertical="center"/>
    </xf>
    <xf numFmtId="0" fontId="2" fillId="43" borderId="6" xfId="0" applyFont="1" applyFill="1" applyBorder="1" applyAlignment="1">
      <alignment horizontal="center" vertical="center"/>
    </xf>
    <xf numFmtId="0" fontId="2" fillId="46" borderId="6" xfId="0" applyFont="1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164" fontId="0" fillId="45" borderId="6" xfId="0" applyNumberFormat="1" applyFill="1" applyBorder="1"/>
    <xf numFmtId="0" fontId="2" fillId="47" borderId="6" xfId="0" applyFont="1" applyFill="1" applyBorder="1" applyAlignment="1">
      <alignment horizontal="center" vertical="center"/>
    </xf>
    <xf numFmtId="0" fontId="2" fillId="32" borderId="14" xfId="0" applyFont="1" applyFill="1" applyBorder="1" applyAlignment="1">
      <alignment horizontal="center" vertical="center"/>
    </xf>
    <xf numFmtId="0" fontId="0" fillId="29" borderId="14" xfId="0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64" fontId="0" fillId="35" borderId="6" xfId="0" applyNumberFormat="1" applyFill="1" applyBorder="1" applyAlignment="1">
      <alignment horizontal="center" vertical="center"/>
    </xf>
    <xf numFmtId="2" fontId="0" fillId="26" borderId="6" xfId="0" applyNumberForma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7" fillId="44" borderId="6" xfId="0" applyFont="1" applyFill="1" applyBorder="1" applyAlignment="1">
      <alignment horizontal="center" vertical="center"/>
    </xf>
    <xf numFmtId="0" fontId="7" fillId="44" borderId="0" xfId="0" applyFont="1" applyFill="1" applyAlignment="1">
      <alignment horizontal="center" vertical="center"/>
    </xf>
    <xf numFmtId="164" fontId="0" fillId="28" borderId="6" xfId="0" applyNumberFormat="1" applyFill="1" applyBorder="1" applyAlignment="1">
      <alignment horizontal="center" vertical="center"/>
    </xf>
    <xf numFmtId="164" fontId="0" fillId="22" borderId="6" xfId="0" applyNumberFormat="1" applyFont="1" applyFill="1" applyBorder="1" applyAlignment="1">
      <alignment horizontal="center" vertical="center"/>
    </xf>
    <xf numFmtId="164" fontId="0" fillId="15" borderId="6" xfId="0" applyNumberFormat="1" applyFont="1" applyFill="1" applyBorder="1" applyAlignment="1">
      <alignment horizontal="center" vertical="center"/>
    </xf>
    <xf numFmtId="164" fontId="0" fillId="25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zoomScale="68" workbookViewId="0">
      <selection activeCell="I16" sqref="I16"/>
    </sheetView>
  </sheetViews>
  <sheetFormatPr defaultRowHeight="15" customHeight="1" x14ac:dyDescent="0.35"/>
  <cols>
    <col min="1" max="1" width="12.26953125" customWidth="1"/>
    <col min="2" max="2" width="11.6328125" customWidth="1"/>
    <col min="6" max="6" width="22.453125" customWidth="1"/>
    <col min="7" max="7" width="15.54296875" customWidth="1"/>
    <col min="8" max="8" width="13" customWidth="1"/>
    <col min="9" max="9" width="27.453125" customWidth="1"/>
    <col min="10" max="10" width="10.90625" customWidth="1"/>
    <col min="13" max="13" width="11.54296875" customWidth="1"/>
    <col min="14" max="14" width="10.81640625" customWidth="1"/>
    <col min="15" max="15" width="4.08984375" customWidth="1"/>
    <col min="16" max="16" width="15.36328125" customWidth="1"/>
    <col min="17" max="17" width="15" customWidth="1"/>
    <col min="18" max="18" width="12.90625" customWidth="1"/>
  </cols>
  <sheetData>
    <row r="1" spans="1:17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90</v>
      </c>
      <c r="H1" s="18" t="s">
        <v>89</v>
      </c>
      <c r="I1" s="20" t="s">
        <v>91</v>
      </c>
      <c r="J1" s="75" t="s">
        <v>94</v>
      </c>
      <c r="K1" s="79" t="s">
        <v>95</v>
      </c>
      <c r="L1" s="49" t="s">
        <v>96</v>
      </c>
      <c r="M1" s="80" t="s">
        <v>97</v>
      </c>
      <c r="N1" s="73" t="s">
        <v>98</v>
      </c>
      <c r="P1" s="26" t="s">
        <v>99</v>
      </c>
    </row>
    <row r="2" spans="1:17" ht="15" customHeight="1" thickBot="1" x14ac:dyDescent="0.4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21">
        <f t="shared" ref="G2:G21" si="0">AVERAGE(C2:E2)</f>
        <v>61.666666666666664</v>
      </c>
      <c r="H2" s="19" t="str">
        <f>IF(G2&gt;=75,"A",IF(G2&gt;=60,"B",IF(G2&gt;=40,"C","FAIL")))</f>
        <v>B</v>
      </c>
      <c r="I2" s="21" t="str">
        <f>IF(AND(C2&gt;80,D2&gt;80),B2,"-")</f>
        <v>-</v>
      </c>
      <c r="J2" s="52">
        <f>ROUND(C2:C21,0)</f>
        <v>61</v>
      </c>
      <c r="K2" s="82">
        <f>CEILING(D2:D21,1)</f>
        <v>48</v>
      </c>
      <c r="L2" s="54">
        <f>FLOOR(E2:E21,1)</f>
        <v>76</v>
      </c>
      <c r="M2" s="81" t="str">
        <f t="array" ref="M2">IFERROR(INDEX($B$2:$B$21, SMALL(IF($H$2:$H$21="A", ROW($B$2:$B$21)-ROW($B$2)+1), ROW(A1))), "")</f>
        <v>Student 5</v>
      </c>
      <c r="N2" s="57">
        <f ca="1">DATEDIF(F2,TODAY(),"Y")</f>
        <v>8</v>
      </c>
      <c r="P2" s="29">
        <f>(COUNTIFS(C2:C21,"&gt;60",D2:D21,"&gt;60",E2:E21,"&gt;60"))</f>
        <v>6</v>
      </c>
    </row>
    <row r="3" spans="1:17" ht="15" customHeight="1" thickBot="1" x14ac:dyDescent="0.4">
      <c r="A3" s="4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83">
        <f t="shared" si="0"/>
        <v>74.666666666666671</v>
      </c>
      <c r="H3" s="19" t="str">
        <f t="shared" ref="H3:H21" si="1">IF(G3&gt;=75,"A",IF(G3&gt;=60,"B",IF(G3&gt;=40,"C","FAIL")))</f>
        <v>B</v>
      </c>
      <c r="I3" s="21" t="str">
        <f t="shared" ref="I3:I21" si="2">IF(AND(C3&gt;80,D3&gt;80),B3,"-")</f>
        <v>-</v>
      </c>
      <c r="J3" s="52">
        <f t="shared" ref="J3:J21" si="3">ROUND(C3:C22,0)</f>
        <v>78</v>
      </c>
      <c r="K3" s="82">
        <f t="shared" ref="K3:K21" si="4">CEILING(D3:D22,1)</f>
        <v>76</v>
      </c>
      <c r="L3" s="54">
        <f t="shared" ref="L3:L21" si="5">FLOOR(E3:E22,1)</f>
        <v>70</v>
      </c>
      <c r="M3" s="81" t="str">
        <f t="array" ref="M3">IFERROR(INDEX($B$2:$B$21, SMALL(IF($H$2:$H$21="A", ROW($B$2:$B$21)-ROW($B$2)+1), ROW(A2))), "")</f>
        <v>Student 8</v>
      </c>
      <c r="N3" s="57">
        <f t="shared" ref="N3:N18" ca="1" si="6">DATEDIF(F3,TODAY(),"Y")</f>
        <v>7</v>
      </c>
    </row>
    <row r="4" spans="1:17" ht="15" customHeight="1" thickBot="1" x14ac:dyDescent="0.4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21">
        <f t="shared" si="0"/>
        <v>69.333333333333329</v>
      </c>
      <c r="H4" s="19" t="str">
        <f t="shared" si="1"/>
        <v>B</v>
      </c>
      <c r="I4" s="21" t="str">
        <f t="shared" si="2"/>
        <v>-</v>
      </c>
      <c r="J4" s="52">
        <f t="shared" si="3"/>
        <v>97</v>
      </c>
      <c r="K4" s="82">
        <f t="shared" si="4"/>
        <v>60</v>
      </c>
      <c r="L4" s="54">
        <f t="shared" si="5"/>
        <v>51</v>
      </c>
      <c r="M4" s="81" t="str">
        <f t="array" ref="M4">IFERROR(INDEX($B$2:$B$21, SMALL(IF($H$2:$H$21="A", ROW($B$2:$B$21)-ROW($B$2)+1), ROW(A3))), "")</f>
        <v>Student 12</v>
      </c>
      <c r="N4" s="57">
        <f t="shared" ca="1" si="6"/>
        <v>7</v>
      </c>
    </row>
    <row r="5" spans="1:17" ht="15" customHeight="1" thickBot="1" x14ac:dyDescent="0.4">
      <c r="A5" s="4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83">
        <f t="shared" si="0"/>
        <v>58.333333333333336</v>
      </c>
      <c r="H5" s="19" t="str">
        <f t="shared" si="1"/>
        <v>C</v>
      </c>
      <c r="I5" s="21" t="str">
        <f t="shared" si="2"/>
        <v>-</v>
      </c>
      <c r="J5" s="52">
        <f t="shared" si="3"/>
        <v>74</v>
      </c>
      <c r="K5" s="82">
        <f t="shared" si="4"/>
        <v>55</v>
      </c>
      <c r="L5" s="54">
        <f t="shared" si="5"/>
        <v>46</v>
      </c>
      <c r="M5" s="81" t="str">
        <f t="array" ref="M5">IFERROR(INDEX($B$2:$B$21, SMALL(IF($H$2:$H$21="A", ROW($B$2:$B$21)-ROW($B$2)+1), ROW(A4))), "")</f>
        <v>Student 13</v>
      </c>
      <c r="N5" s="57">
        <f t="shared" ca="1" si="6"/>
        <v>6</v>
      </c>
      <c r="P5" s="30" t="s">
        <v>100</v>
      </c>
    </row>
    <row r="6" spans="1:17" ht="15" customHeight="1" thickBot="1" x14ac:dyDescent="0.4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21">
        <f t="shared" si="0"/>
        <v>75.333333333333329</v>
      </c>
      <c r="H6" s="19" t="str">
        <f t="shared" si="1"/>
        <v>A</v>
      </c>
      <c r="I6" s="21" t="str">
        <f t="shared" si="2"/>
        <v>-</v>
      </c>
      <c r="J6" s="52">
        <f t="shared" si="3"/>
        <v>68</v>
      </c>
      <c r="K6" s="82">
        <f t="shared" si="4"/>
        <v>74</v>
      </c>
      <c r="L6" s="54">
        <f t="shared" si="5"/>
        <v>84</v>
      </c>
      <c r="M6" s="81" t="str">
        <f t="array" ref="M6">IFERROR(INDEX($B$2:$B$21, SMALL(IF($H$2:$H$21="A", ROW($B$2:$B$21)-ROW($B$2)+1), ROW(A5))), "")</f>
        <v>Student 16</v>
      </c>
      <c r="N6" s="57">
        <f t="shared" ca="1" si="6"/>
        <v>6</v>
      </c>
      <c r="P6" s="31">
        <f>COUNTIF(C2:C21,"&gt;50")</f>
        <v>19</v>
      </c>
    </row>
    <row r="7" spans="1:17" ht="15" customHeight="1" thickBot="1" x14ac:dyDescent="0.4">
      <c r="A7" s="4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83">
        <f t="shared" si="0"/>
        <v>71.666666666666671</v>
      </c>
      <c r="H7" s="19" t="str">
        <f t="shared" si="1"/>
        <v>B</v>
      </c>
      <c r="I7" s="21" t="str">
        <f t="shared" si="2"/>
        <v>-</v>
      </c>
      <c r="J7" s="52">
        <f t="shared" si="3"/>
        <v>80</v>
      </c>
      <c r="K7" s="82">
        <f t="shared" si="4"/>
        <v>70</v>
      </c>
      <c r="L7" s="54">
        <f t="shared" si="5"/>
        <v>65</v>
      </c>
      <c r="M7" s="81" t="str">
        <f t="array" ref="M7">IFERROR(INDEX($B$2:$B$21, SMALL(IF($H$2:$H$21="A", ROW($B$2:$B$21)-ROW($B$2)+1), ROW(A6))), "")</f>
        <v>Student 19</v>
      </c>
      <c r="N7" s="57">
        <f t="shared" ca="1" si="6"/>
        <v>5</v>
      </c>
    </row>
    <row r="8" spans="1:17" ht="15" customHeight="1" thickBot="1" x14ac:dyDescent="0.4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21">
        <f t="shared" si="0"/>
        <v>66.666666666666671</v>
      </c>
      <c r="H8" s="19" t="str">
        <f t="shared" si="1"/>
        <v>B</v>
      </c>
      <c r="I8" s="21" t="str">
        <f t="shared" si="2"/>
        <v>-</v>
      </c>
      <c r="J8" s="52">
        <f t="shared" si="3"/>
        <v>75</v>
      </c>
      <c r="K8" s="82">
        <f t="shared" si="4"/>
        <v>47</v>
      </c>
      <c r="L8" s="54">
        <f t="shared" si="5"/>
        <v>78</v>
      </c>
      <c r="M8" s="81" t="str">
        <f t="array" ref="M8">IFERROR(INDEX($B$2:$B$21, SMALL(IF($H$2:$H$21="A", ROW($B$2:$B$21)-ROW($B$2)+1), ROW(A7))), "")</f>
        <v>Student 20</v>
      </c>
      <c r="N8" s="57">
        <f t="shared" ca="1" si="6"/>
        <v>5</v>
      </c>
    </row>
    <row r="9" spans="1:17" ht="15" customHeight="1" thickBot="1" x14ac:dyDescent="0.4">
      <c r="A9" s="4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83">
        <f t="shared" si="0"/>
        <v>75</v>
      </c>
      <c r="H9" s="19" t="str">
        <f t="shared" si="1"/>
        <v>A</v>
      </c>
      <c r="I9" s="21" t="str">
        <f t="shared" si="2"/>
        <v>-</v>
      </c>
      <c r="J9" s="52">
        <f t="shared" si="3"/>
        <v>94</v>
      </c>
      <c r="K9" s="82">
        <f t="shared" si="4"/>
        <v>67</v>
      </c>
      <c r="L9" s="54">
        <f t="shared" si="5"/>
        <v>64</v>
      </c>
      <c r="N9" s="57">
        <f t="shared" ca="1" si="6"/>
        <v>4</v>
      </c>
      <c r="P9" s="32" t="s">
        <v>101</v>
      </c>
    </row>
    <row r="10" spans="1:17" ht="15" customHeight="1" thickBot="1" x14ac:dyDescent="0.4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21">
        <f t="shared" si="0"/>
        <v>57.333333333333336</v>
      </c>
      <c r="H10" s="19" t="str">
        <f t="shared" si="1"/>
        <v>C</v>
      </c>
      <c r="I10" s="21" t="str">
        <f t="shared" si="2"/>
        <v>-</v>
      </c>
      <c r="J10" s="52">
        <f t="shared" si="3"/>
        <v>41</v>
      </c>
      <c r="K10" s="82">
        <f t="shared" si="4"/>
        <v>75</v>
      </c>
      <c r="L10" s="54">
        <f t="shared" si="5"/>
        <v>56</v>
      </c>
      <c r="N10" s="57">
        <f t="shared" ca="1" si="6"/>
        <v>4</v>
      </c>
      <c r="P10" s="33">
        <f>AVERAGEIF($G$2:$G$21,"&gt;60")</f>
        <v>73.625000000000014</v>
      </c>
    </row>
    <row r="11" spans="1:17" ht="15" customHeight="1" thickBot="1" x14ac:dyDescent="0.4">
      <c r="A11" s="4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83">
        <f t="shared" si="0"/>
        <v>70</v>
      </c>
      <c r="H11" s="19" t="str">
        <f t="shared" si="1"/>
        <v>B</v>
      </c>
      <c r="I11" s="21" t="str">
        <f t="shared" si="2"/>
        <v>-</v>
      </c>
      <c r="J11" s="52">
        <f t="shared" si="3"/>
        <v>98</v>
      </c>
      <c r="K11" s="82">
        <f t="shared" si="4"/>
        <v>54</v>
      </c>
      <c r="L11" s="54">
        <f t="shared" si="5"/>
        <v>58</v>
      </c>
      <c r="N11" s="57">
        <f t="shared" ca="1" si="6"/>
        <v>3</v>
      </c>
    </row>
    <row r="12" spans="1:17" ht="15" customHeight="1" thickBot="1" x14ac:dyDescent="0.4">
      <c r="A12" s="2">
        <v>1011</v>
      </c>
      <c r="B12" s="2" t="s">
        <v>16</v>
      </c>
      <c r="C12" s="2">
        <v>73</v>
      </c>
      <c r="D12" s="2">
        <v>79</v>
      </c>
      <c r="E12" s="2">
        <v>53</v>
      </c>
      <c r="F12" s="3">
        <v>44901</v>
      </c>
      <c r="G12" s="21">
        <f t="shared" si="0"/>
        <v>68.333333333333329</v>
      </c>
      <c r="H12" s="19" t="str">
        <f t="shared" si="1"/>
        <v>B</v>
      </c>
      <c r="I12" s="21" t="str">
        <f t="shared" si="2"/>
        <v>-</v>
      </c>
      <c r="J12" s="52">
        <f t="shared" si="3"/>
        <v>73</v>
      </c>
      <c r="K12" s="82">
        <f t="shared" si="4"/>
        <v>79</v>
      </c>
      <c r="L12" s="54">
        <f t="shared" si="5"/>
        <v>53</v>
      </c>
      <c r="N12" s="57">
        <f t="shared" ca="1" si="6"/>
        <v>3</v>
      </c>
    </row>
    <row r="13" spans="1:17" ht="15" customHeight="1" thickBot="1" x14ac:dyDescent="0.4">
      <c r="A13" s="4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83">
        <f t="shared" si="0"/>
        <v>84.333333333333329</v>
      </c>
      <c r="H13" s="19" t="str">
        <f t="shared" si="1"/>
        <v>A</v>
      </c>
      <c r="I13" s="21" t="str">
        <f t="shared" si="2"/>
        <v>Student 12</v>
      </c>
      <c r="J13" s="52">
        <f t="shared" si="3"/>
        <v>85</v>
      </c>
      <c r="K13" s="82">
        <f t="shared" si="4"/>
        <v>89</v>
      </c>
      <c r="L13" s="54">
        <f t="shared" si="5"/>
        <v>79</v>
      </c>
      <c r="N13" s="57">
        <f t="shared" ca="1" si="6"/>
        <v>2</v>
      </c>
      <c r="P13" s="18" t="s">
        <v>102</v>
      </c>
      <c r="Q13" s="34" t="s">
        <v>103</v>
      </c>
    </row>
    <row r="14" spans="1:17" ht="15" customHeight="1" thickBot="1" x14ac:dyDescent="0.4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21">
        <f t="shared" si="0"/>
        <v>95</v>
      </c>
      <c r="H14" s="19" t="str">
        <f t="shared" si="1"/>
        <v>A</v>
      </c>
      <c r="I14" s="21" t="str">
        <f t="shared" si="2"/>
        <v>Student 13</v>
      </c>
      <c r="J14" s="52">
        <f t="shared" si="3"/>
        <v>98</v>
      </c>
      <c r="K14" s="82">
        <f t="shared" si="4"/>
        <v>90</v>
      </c>
      <c r="L14" s="54">
        <f t="shared" si="5"/>
        <v>97</v>
      </c>
      <c r="N14" s="57">
        <f t="shared" ca="1" si="6"/>
        <v>2</v>
      </c>
      <c r="P14" s="35">
        <v>1007</v>
      </c>
      <c r="Q14" s="36" t="str">
        <f>VLOOKUP(P14,A2:B21,2,FALSE)</f>
        <v>Student 7</v>
      </c>
    </row>
    <row r="15" spans="1:17" ht="15" customHeight="1" thickBot="1" x14ac:dyDescent="0.4">
      <c r="A15" s="4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83">
        <f t="shared" si="0"/>
        <v>59</v>
      </c>
      <c r="H15" s="19" t="str">
        <f t="shared" si="1"/>
        <v>C</v>
      </c>
      <c r="I15" s="21" t="str">
        <f t="shared" si="2"/>
        <v>-</v>
      </c>
      <c r="J15" s="52">
        <f t="shared" si="3"/>
        <v>93</v>
      </c>
      <c r="K15" s="82">
        <f t="shared" si="4"/>
        <v>40</v>
      </c>
      <c r="L15" s="54">
        <f t="shared" si="5"/>
        <v>44</v>
      </c>
      <c r="N15" s="57">
        <f t="shared" ca="1" si="6"/>
        <v>1</v>
      </c>
    </row>
    <row r="16" spans="1:17" ht="15" customHeight="1" thickBot="1" x14ac:dyDescent="0.4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21">
        <f t="shared" si="0"/>
        <v>65.333333333333329</v>
      </c>
      <c r="H16" s="19" t="str">
        <f t="shared" si="1"/>
        <v>B</v>
      </c>
      <c r="I16" s="21" t="str">
        <f t="shared" si="2"/>
        <v>-</v>
      </c>
      <c r="J16" s="52">
        <f t="shared" si="3"/>
        <v>70</v>
      </c>
      <c r="K16" s="82">
        <f t="shared" si="4"/>
        <v>51</v>
      </c>
      <c r="L16" s="54">
        <f t="shared" si="5"/>
        <v>75</v>
      </c>
      <c r="N16" s="57">
        <f t="shared" ca="1" si="6"/>
        <v>1</v>
      </c>
    </row>
    <row r="17" spans="1:25" ht="15" customHeight="1" thickBot="1" x14ac:dyDescent="0.4">
      <c r="A17" s="4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83">
        <f t="shared" si="0"/>
        <v>78.333333333333329</v>
      </c>
      <c r="H17" s="19" t="str">
        <f t="shared" si="1"/>
        <v>A</v>
      </c>
      <c r="I17" s="21" t="str">
        <f t="shared" si="2"/>
        <v>-</v>
      </c>
      <c r="J17" s="52">
        <f t="shared" si="3"/>
        <v>98</v>
      </c>
      <c r="K17" s="82">
        <f t="shared" si="4"/>
        <v>77</v>
      </c>
      <c r="L17" s="54">
        <f t="shared" si="5"/>
        <v>60</v>
      </c>
      <c r="N17" s="57">
        <f t="shared" ca="1" si="6"/>
        <v>0</v>
      </c>
      <c r="P17" s="51" t="s">
        <v>31</v>
      </c>
    </row>
    <row r="18" spans="1:25" ht="15" customHeight="1" thickBot="1" x14ac:dyDescent="0.4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21">
        <f t="shared" si="0"/>
        <v>55</v>
      </c>
      <c r="H18" s="19" t="str">
        <f t="shared" si="1"/>
        <v>C</v>
      </c>
      <c r="I18" s="21" t="str">
        <f t="shared" si="2"/>
        <v>-</v>
      </c>
      <c r="J18" s="52">
        <f t="shared" si="3"/>
        <v>66</v>
      </c>
      <c r="K18" s="82">
        <f t="shared" si="4"/>
        <v>59</v>
      </c>
      <c r="L18" s="54">
        <f t="shared" si="5"/>
        <v>40</v>
      </c>
      <c r="N18" s="57">
        <f t="shared" ca="1" si="6"/>
        <v>0</v>
      </c>
      <c r="P18" s="85">
        <f ca="1">_xlfn.DAYS(TODAY(),F7)</f>
        <v>2061</v>
      </c>
    </row>
    <row r="19" spans="1:25" ht="15" customHeight="1" thickBot="1" x14ac:dyDescent="0.4">
      <c r="A19" s="4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 s="83">
        <f t="shared" si="0"/>
        <v>69.666666666666671</v>
      </c>
      <c r="H19" s="19" t="str">
        <f t="shared" si="1"/>
        <v>B</v>
      </c>
      <c r="I19" s="21" t="str">
        <f t="shared" si="2"/>
        <v>-</v>
      </c>
      <c r="J19" s="52">
        <f t="shared" si="3"/>
        <v>82</v>
      </c>
      <c r="K19" s="82">
        <f t="shared" si="4"/>
        <v>48</v>
      </c>
      <c r="L19" s="54">
        <f t="shared" si="5"/>
        <v>79</v>
      </c>
    </row>
    <row r="20" spans="1:25" ht="15" customHeight="1" thickBot="1" x14ac:dyDescent="0.4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21">
        <f t="shared" si="0"/>
        <v>76</v>
      </c>
      <c r="H20" s="19" t="str">
        <f t="shared" si="1"/>
        <v>A</v>
      </c>
      <c r="I20" s="21" t="str">
        <f t="shared" si="2"/>
        <v>-</v>
      </c>
      <c r="J20" s="52">
        <f t="shared" si="3"/>
        <v>90</v>
      </c>
      <c r="K20" s="82">
        <f t="shared" si="4"/>
        <v>78</v>
      </c>
      <c r="L20" s="54">
        <f t="shared" si="5"/>
        <v>60</v>
      </c>
    </row>
    <row r="21" spans="1:25" ht="15" customHeight="1" thickBot="1" x14ac:dyDescent="0.4">
      <c r="A21" s="6">
        <v>1020</v>
      </c>
      <c r="B21" s="6" t="s">
        <v>25</v>
      </c>
      <c r="C21" s="6">
        <v>83</v>
      </c>
      <c r="D21" s="6">
        <v>92</v>
      </c>
      <c r="E21" s="6">
        <v>55</v>
      </c>
      <c r="F21" s="7">
        <v>46521</v>
      </c>
      <c r="G21" s="83">
        <f t="shared" si="0"/>
        <v>76.666666666666671</v>
      </c>
      <c r="H21" s="19" t="str">
        <f t="shared" si="1"/>
        <v>A</v>
      </c>
      <c r="I21" s="21" t="str">
        <f t="shared" si="2"/>
        <v>Student 20</v>
      </c>
      <c r="J21" s="52">
        <f t="shared" si="3"/>
        <v>83</v>
      </c>
      <c r="K21" s="82">
        <f t="shared" si="4"/>
        <v>92</v>
      </c>
      <c r="L21" s="54">
        <f t="shared" si="5"/>
        <v>55</v>
      </c>
      <c r="P21" s="49" t="s">
        <v>130</v>
      </c>
      <c r="Q21" s="49" t="s">
        <v>131</v>
      </c>
    </row>
    <row r="22" spans="1:25" ht="15" customHeight="1" x14ac:dyDescent="0.35">
      <c r="P22" s="54">
        <v>1004</v>
      </c>
      <c r="Q22" s="54" t="str">
        <f>VLOOKUP($P$22, $A$2:$E$21, COLUMN(B1), 0)</f>
        <v>Student 4</v>
      </c>
      <c r="R22" s="54">
        <f t="shared" ref="R22:T22" si="7">VLOOKUP($P$22, $A$2:$E$21, COLUMN(C1), 0)</f>
        <v>74</v>
      </c>
      <c r="S22" s="54">
        <f t="shared" si="7"/>
        <v>55</v>
      </c>
      <c r="T22" s="54">
        <f>VLOOKUP($P$22, $A$2:$E$21, COLUMN(E1), 0)</f>
        <v>46</v>
      </c>
      <c r="V22" s="28"/>
      <c r="W22" s="28"/>
      <c r="X22" s="28"/>
      <c r="Y22" s="28"/>
    </row>
    <row r="23" spans="1:25" ht="14.5" customHeight="1" x14ac:dyDescent="0.35">
      <c r="I23" s="87" t="s">
        <v>132</v>
      </c>
    </row>
    <row r="24" spans="1:25" ht="15" customHeight="1" x14ac:dyDescent="0.35">
      <c r="I24" s="87" t="s">
        <v>133</v>
      </c>
    </row>
    <row r="25" spans="1:25" ht="15" customHeight="1" x14ac:dyDescent="0.35">
      <c r="I25" s="88" t="s">
        <v>134</v>
      </c>
    </row>
  </sheetData>
  <pageMargins left="0.7" right="0.7" top="0.75" bottom="0.75" header="0.3" footer="0.3"/>
  <pageSetup paperSize="9" orientation="portrait" horizontalDpi="300" verticalDpi="0" r:id="rId1"/>
  <ignoredErrors>
    <ignoredError sqref="G2:G21 J3:J21 K3:K21 L3:L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zoomScale="76" workbookViewId="0">
      <selection activeCell="P5" sqref="P5"/>
    </sheetView>
  </sheetViews>
  <sheetFormatPr defaultRowHeight="15.5" customHeight="1" x14ac:dyDescent="0.35"/>
  <cols>
    <col min="1" max="1" width="9.08984375" customWidth="1"/>
    <col min="2" max="2" width="11.81640625" customWidth="1"/>
    <col min="3" max="3" width="12.36328125" customWidth="1"/>
    <col min="4" max="4" width="13.08984375" customWidth="1"/>
    <col min="5" max="5" width="13.7265625" customWidth="1"/>
    <col min="6" max="6" width="23.08984375" customWidth="1"/>
    <col min="7" max="7" width="14.81640625" customWidth="1"/>
    <col min="8" max="8" width="16.6328125" customWidth="1"/>
    <col min="9" max="9" width="6.81640625" customWidth="1"/>
    <col min="10" max="10" width="15.90625" customWidth="1"/>
    <col min="11" max="11" width="15.1796875" customWidth="1"/>
    <col min="12" max="12" width="6" customWidth="1"/>
    <col min="13" max="13" width="15" customWidth="1"/>
    <col min="14" max="14" width="14.26953125" customWidth="1"/>
    <col min="15" max="15" width="6.90625" customWidth="1"/>
    <col min="17" max="17" width="13.90625" customWidth="1"/>
  </cols>
  <sheetData>
    <row r="1" spans="1:17" ht="15.5" customHeight="1" thickBot="1" x14ac:dyDescent="0.4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23" t="s">
        <v>92</v>
      </c>
      <c r="H1" s="26" t="s">
        <v>93</v>
      </c>
      <c r="J1" s="37" t="s">
        <v>104</v>
      </c>
      <c r="K1" s="38" t="s">
        <v>105</v>
      </c>
      <c r="M1" s="51" t="s">
        <v>110</v>
      </c>
      <c r="N1" s="51" t="s">
        <v>111</v>
      </c>
      <c r="P1" s="76" t="s">
        <v>1</v>
      </c>
      <c r="Q1" s="76" t="s">
        <v>116</v>
      </c>
    </row>
    <row r="2" spans="1:17" ht="15.5" customHeight="1" thickBot="1" x14ac:dyDescent="0.4">
      <c r="A2" s="9">
        <v>2001</v>
      </c>
      <c r="B2" s="9" t="s">
        <v>32</v>
      </c>
      <c r="C2" s="9" t="s">
        <v>33</v>
      </c>
      <c r="D2" s="9" t="s">
        <v>34</v>
      </c>
      <c r="E2" s="9">
        <v>7048</v>
      </c>
      <c r="F2" s="10">
        <v>44927</v>
      </c>
      <c r="G2" s="24">
        <f>IF(E2&gt;1000,E2*10%,FALSE)</f>
        <v>704.80000000000007</v>
      </c>
      <c r="H2" s="27" t="str">
        <f>IF(OR(C2="South",E2&gt;10000),"Eligible","Not Discount")</f>
        <v>Eligible</v>
      </c>
      <c r="J2" s="65" t="s">
        <v>32</v>
      </c>
      <c r="K2" s="45">
        <f>VLOOKUP($J$2,$B$2:$E$21,4,FALSE)</f>
        <v>7048</v>
      </c>
      <c r="M2" s="52" t="s">
        <v>32</v>
      </c>
      <c r="N2" s="52">
        <f>MATCH(M2,B2:B21,0)</f>
        <v>1</v>
      </c>
      <c r="P2" s="77" t="s">
        <v>115</v>
      </c>
      <c r="Q2" s="78">
        <f ca="1">INDIRECT(P2)</f>
        <v>38161</v>
      </c>
    </row>
    <row r="3" spans="1:17" ht="15.5" customHeight="1" thickBot="1" x14ac:dyDescent="0.4">
      <c r="A3" s="11">
        <v>2002</v>
      </c>
      <c r="B3" s="11" t="s">
        <v>35</v>
      </c>
      <c r="C3" s="11" t="s">
        <v>36</v>
      </c>
      <c r="D3" s="11" t="s">
        <v>37</v>
      </c>
      <c r="E3" s="11">
        <v>17428</v>
      </c>
      <c r="F3" s="12">
        <v>44942</v>
      </c>
      <c r="G3" s="24">
        <f t="shared" ref="G3:G21" si="0">IF(E3&gt;1000,E3*10%,FALSE)</f>
        <v>1742.8000000000002</v>
      </c>
      <c r="H3" s="27" t="str">
        <f t="shared" ref="H3:H21" si="1">IF(OR(C3="South",E3&gt;10000),"Eligible","Not Discount")</f>
        <v>Eligible</v>
      </c>
    </row>
    <row r="4" spans="1:17" ht="15.5" customHeight="1" thickBot="1" x14ac:dyDescent="0.4">
      <c r="A4" s="9">
        <v>2003</v>
      </c>
      <c r="B4" s="9" t="s">
        <v>38</v>
      </c>
      <c r="C4" s="9" t="s">
        <v>33</v>
      </c>
      <c r="D4" s="9" t="s">
        <v>39</v>
      </c>
      <c r="E4" s="9">
        <v>23672</v>
      </c>
      <c r="F4" s="13">
        <v>44957</v>
      </c>
      <c r="G4" s="24">
        <f t="shared" si="0"/>
        <v>2367.2000000000003</v>
      </c>
      <c r="H4" s="27" t="str">
        <f t="shared" si="1"/>
        <v>Eligible</v>
      </c>
    </row>
    <row r="5" spans="1:17" ht="15.5" customHeight="1" thickBot="1" x14ac:dyDescent="0.4">
      <c r="A5" s="11">
        <v>2004</v>
      </c>
      <c r="B5" s="11" t="s">
        <v>35</v>
      </c>
      <c r="C5" s="11" t="s">
        <v>40</v>
      </c>
      <c r="D5" s="11" t="s">
        <v>41</v>
      </c>
      <c r="E5" s="11">
        <v>5264</v>
      </c>
      <c r="F5" s="12">
        <v>44972</v>
      </c>
      <c r="G5" s="24">
        <f t="shared" si="0"/>
        <v>526.4</v>
      </c>
      <c r="H5" s="27" t="str">
        <f t="shared" si="1"/>
        <v>Not Discount</v>
      </c>
      <c r="J5" s="20" t="s">
        <v>106</v>
      </c>
      <c r="M5" s="71" t="s">
        <v>112</v>
      </c>
    </row>
    <row r="6" spans="1:17" ht="15.5" customHeight="1" thickBot="1" x14ac:dyDescent="0.4">
      <c r="A6" s="9">
        <v>2005</v>
      </c>
      <c r="B6" s="9" t="s">
        <v>32</v>
      </c>
      <c r="C6" s="9" t="s">
        <v>42</v>
      </c>
      <c r="D6" s="9" t="s">
        <v>43</v>
      </c>
      <c r="E6" s="9">
        <v>43388</v>
      </c>
      <c r="F6" s="13">
        <v>44987</v>
      </c>
      <c r="G6" s="24">
        <f t="shared" si="0"/>
        <v>4338.8</v>
      </c>
      <c r="H6" s="27" t="str">
        <f t="shared" si="1"/>
        <v>Eligible</v>
      </c>
      <c r="J6" s="90">
        <f>SUMIFS(E2:E21,C2:C21,"North",B2:B21,"Monitor")</f>
        <v>77482</v>
      </c>
      <c r="M6" s="72" t="str">
        <f ca="1">OFFSET(A2,4,1)</f>
        <v>Keyboard</v>
      </c>
    </row>
    <row r="7" spans="1:17" ht="15.5" customHeight="1" thickBot="1" x14ac:dyDescent="0.4">
      <c r="A7" s="11">
        <v>2006</v>
      </c>
      <c r="B7" s="11" t="s">
        <v>38</v>
      </c>
      <c r="C7" s="11" t="s">
        <v>42</v>
      </c>
      <c r="D7" s="11" t="s">
        <v>44</v>
      </c>
      <c r="E7" s="11">
        <v>19757</v>
      </c>
      <c r="F7" s="12">
        <v>45002</v>
      </c>
      <c r="G7" s="24">
        <f t="shared" si="0"/>
        <v>1975.7</v>
      </c>
      <c r="H7" s="27" t="str">
        <f t="shared" si="1"/>
        <v>Eligible</v>
      </c>
    </row>
    <row r="8" spans="1:17" ht="15.5" customHeight="1" thickBot="1" x14ac:dyDescent="0.4">
      <c r="A8" s="9">
        <v>2007</v>
      </c>
      <c r="B8" s="9" t="s">
        <v>38</v>
      </c>
      <c r="C8" s="9" t="s">
        <v>40</v>
      </c>
      <c r="D8" s="9" t="s">
        <v>45</v>
      </c>
      <c r="E8" s="9">
        <v>32058</v>
      </c>
      <c r="F8" s="13">
        <v>45017</v>
      </c>
      <c r="G8" s="24">
        <f t="shared" si="0"/>
        <v>3205.8</v>
      </c>
      <c r="H8" s="27" t="str">
        <f t="shared" si="1"/>
        <v>Eligible</v>
      </c>
    </row>
    <row r="9" spans="1:17" ht="15.5" customHeight="1" thickBot="1" x14ac:dyDescent="0.4">
      <c r="A9" s="11">
        <v>2008</v>
      </c>
      <c r="B9" s="11" t="s">
        <v>32</v>
      </c>
      <c r="C9" s="11" t="s">
        <v>40</v>
      </c>
      <c r="D9" s="11" t="s">
        <v>46</v>
      </c>
      <c r="E9" s="11">
        <v>46429</v>
      </c>
      <c r="F9" s="12">
        <v>45032</v>
      </c>
      <c r="G9" s="24">
        <f t="shared" si="0"/>
        <v>4642.9000000000005</v>
      </c>
      <c r="H9" s="27" t="str">
        <f t="shared" si="1"/>
        <v>Eligible</v>
      </c>
      <c r="J9" s="40" t="s">
        <v>107</v>
      </c>
      <c r="K9" s="41" t="s">
        <v>108</v>
      </c>
      <c r="M9" s="73" t="s">
        <v>128</v>
      </c>
      <c r="N9" s="73" t="s">
        <v>113</v>
      </c>
    </row>
    <row r="10" spans="1:17" ht="15.5" customHeight="1" thickBot="1" x14ac:dyDescent="0.4">
      <c r="A10" s="9">
        <v>2009</v>
      </c>
      <c r="B10" s="9" t="s">
        <v>35</v>
      </c>
      <c r="C10" s="9" t="s">
        <v>40</v>
      </c>
      <c r="D10" s="9" t="s">
        <v>47</v>
      </c>
      <c r="E10" s="9">
        <v>19746</v>
      </c>
      <c r="F10" s="13">
        <v>45047</v>
      </c>
      <c r="G10" s="24">
        <f t="shared" si="0"/>
        <v>1974.6000000000001</v>
      </c>
      <c r="H10" s="27" t="str">
        <f t="shared" si="1"/>
        <v>Eligible</v>
      </c>
      <c r="J10" s="42">
        <v>2004</v>
      </c>
      <c r="K10" s="43">
        <f>VLOOKUP(J10,A2:E21,5,FALSE)</f>
        <v>5264</v>
      </c>
      <c r="M10" s="57" t="s">
        <v>51</v>
      </c>
      <c r="N10" s="74" t="str">
        <f>TEXT(INDEX(F2:F21, MATCH(M10,D2:D21, 0)), "mmmm")</f>
        <v>June</v>
      </c>
    </row>
    <row r="11" spans="1:17" ht="15.5" customHeight="1" thickBot="1" x14ac:dyDescent="0.4">
      <c r="A11" s="11">
        <v>2010</v>
      </c>
      <c r="B11" s="11" t="s">
        <v>32</v>
      </c>
      <c r="C11" s="11" t="s">
        <v>33</v>
      </c>
      <c r="D11" s="11" t="s">
        <v>48</v>
      </c>
      <c r="E11" s="11">
        <v>35185</v>
      </c>
      <c r="F11" s="12">
        <v>45062</v>
      </c>
      <c r="G11" s="24">
        <f t="shared" si="0"/>
        <v>3518.5</v>
      </c>
      <c r="H11" s="27" t="str">
        <f t="shared" si="1"/>
        <v>Eligible</v>
      </c>
    </row>
    <row r="12" spans="1:17" ht="15.5" customHeight="1" thickBot="1" x14ac:dyDescent="0.4">
      <c r="A12" s="9">
        <v>2011</v>
      </c>
      <c r="B12" s="9" t="s">
        <v>32</v>
      </c>
      <c r="C12" s="9" t="s">
        <v>40</v>
      </c>
      <c r="D12" s="9" t="s">
        <v>49</v>
      </c>
      <c r="E12" s="9">
        <v>33920</v>
      </c>
      <c r="F12" s="13">
        <v>45077</v>
      </c>
      <c r="G12" s="24">
        <f t="shared" si="0"/>
        <v>3392</v>
      </c>
      <c r="H12" s="27" t="str">
        <f t="shared" si="1"/>
        <v>Eligible</v>
      </c>
    </row>
    <row r="13" spans="1:17" ht="15.5" customHeight="1" thickBot="1" x14ac:dyDescent="0.4">
      <c r="A13" s="11">
        <v>2012</v>
      </c>
      <c r="B13" s="11" t="s">
        <v>50</v>
      </c>
      <c r="C13" s="11" t="s">
        <v>42</v>
      </c>
      <c r="D13" s="11" t="s">
        <v>51</v>
      </c>
      <c r="E13" s="11">
        <v>35611</v>
      </c>
      <c r="F13" s="12">
        <v>45092</v>
      </c>
      <c r="G13" s="24">
        <f t="shared" si="0"/>
        <v>3561.1000000000004</v>
      </c>
      <c r="H13" s="27" t="str">
        <f t="shared" si="1"/>
        <v>Eligible</v>
      </c>
      <c r="J13" s="44" t="s">
        <v>109</v>
      </c>
      <c r="K13" s="44" t="s">
        <v>30</v>
      </c>
      <c r="M13" s="70" t="s">
        <v>129</v>
      </c>
      <c r="N13" s="70" t="s">
        <v>114</v>
      </c>
    </row>
    <row r="14" spans="1:17" ht="15.5" customHeight="1" thickBot="1" x14ac:dyDescent="0.4">
      <c r="A14" s="9">
        <v>2013</v>
      </c>
      <c r="B14" s="9" t="s">
        <v>52</v>
      </c>
      <c r="C14" s="9" t="s">
        <v>40</v>
      </c>
      <c r="D14" s="9" t="s">
        <v>53</v>
      </c>
      <c r="E14" s="9">
        <v>15560</v>
      </c>
      <c r="F14" s="13">
        <v>45107</v>
      </c>
      <c r="G14" s="24">
        <f t="shared" si="0"/>
        <v>1556</v>
      </c>
      <c r="H14" s="27" t="str">
        <f t="shared" si="1"/>
        <v>Eligible</v>
      </c>
      <c r="J14" s="39" t="s">
        <v>46</v>
      </c>
      <c r="K14" s="45">
        <f>VLOOKUP(J14,D2:E21,2,FALSE)</f>
        <v>46429</v>
      </c>
      <c r="M14" s="52" t="s">
        <v>48</v>
      </c>
      <c r="N14" s="64">
        <f>VLOOKUP(M14,D2:E21, 2, 0)</f>
        <v>35185</v>
      </c>
    </row>
    <row r="15" spans="1:17" ht="15.5" customHeight="1" thickBot="1" x14ac:dyDescent="0.4">
      <c r="A15" s="11">
        <v>2014</v>
      </c>
      <c r="B15" s="11" t="s">
        <v>52</v>
      </c>
      <c r="C15" s="11" t="s">
        <v>33</v>
      </c>
      <c r="D15" s="11" t="s">
        <v>54</v>
      </c>
      <c r="E15" s="11">
        <v>7283</v>
      </c>
      <c r="F15" s="12">
        <v>45122</v>
      </c>
      <c r="G15" s="24">
        <f t="shared" si="0"/>
        <v>728.30000000000007</v>
      </c>
      <c r="H15" s="27" t="str">
        <f t="shared" si="1"/>
        <v>Eligible</v>
      </c>
    </row>
    <row r="16" spans="1:17" ht="15.5" customHeight="1" thickBot="1" x14ac:dyDescent="0.4">
      <c r="A16" s="9">
        <v>2015</v>
      </c>
      <c r="B16" s="9" t="s">
        <v>52</v>
      </c>
      <c r="C16" s="9" t="s">
        <v>40</v>
      </c>
      <c r="D16" s="9" t="s">
        <v>55</v>
      </c>
      <c r="E16" s="9">
        <v>15678</v>
      </c>
      <c r="F16" s="13">
        <v>45137</v>
      </c>
      <c r="G16" s="24">
        <f t="shared" si="0"/>
        <v>1567.8000000000002</v>
      </c>
      <c r="H16" s="27" t="str">
        <f t="shared" si="1"/>
        <v>Eligible</v>
      </c>
    </row>
    <row r="17" spans="1:17" ht="15.5" customHeight="1" thickBot="1" x14ac:dyDescent="0.4">
      <c r="A17" s="11">
        <v>2016</v>
      </c>
      <c r="B17" s="11" t="s">
        <v>38</v>
      </c>
      <c r="C17" s="11" t="s">
        <v>40</v>
      </c>
      <c r="D17" s="11" t="s">
        <v>56</v>
      </c>
      <c r="E17" s="11">
        <v>5277</v>
      </c>
      <c r="F17" s="12">
        <v>45152</v>
      </c>
      <c r="G17" s="24">
        <f t="shared" si="0"/>
        <v>527.70000000000005</v>
      </c>
      <c r="H17" s="27" t="str">
        <f t="shared" si="1"/>
        <v>Not Discount</v>
      </c>
      <c r="J17" s="49" t="s">
        <v>1</v>
      </c>
      <c r="K17" s="49" t="s">
        <v>30</v>
      </c>
      <c r="M17" s="53" t="s">
        <v>129</v>
      </c>
      <c r="N17" s="53" t="s">
        <v>30</v>
      </c>
    </row>
    <row r="18" spans="1:17" ht="15.5" customHeight="1" thickBot="1" x14ac:dyDescent="0.4">
      <c r="A18" s="9">
        <v>2017</v>
      </c>
      <c r="B18" s="9" t="s">
        <v>50</v>
      </c>
      <c r="C18" s="9" t="s">
        <v>42</v>
      </c>
      <c r="D18" s="9" t="s">
        <v>57</v>
      </c>
      <c r="E18" s="9">
        <v>41871</v>
      </c>
      <c r="F18" s="13">
        <v>45167</v>
      </c>
      <c r="G18" s="24">
        <f t="shared" si="0"/>
        <v>4187.1000000000004</v>
      </c>
      <c r="H18" s="27" t="str">
        <f t="shared" si="1"/>
        <v>Eligible</v>
      </c>
      <c r="J18" s="54" t="s">
        <v>56</v>
      </c>
      <c r="K18" s="89">
        <f>VLOOKUP(J18,D2:E21, 2, 0)</f>
        <v>5277</v>
      </c>
      <c r="M18" s="61" t="s">
        <v>51</v>
      </c>
      <c r="N18" s="62">
        <f>INDEX(E2:E21, MATCH(M18,D2:D21, 0))</f>
        <v>35611</v>
      </c>
    </row>
    <row r="19" spans="1:17" ht="15.5" customHeight="1" thickBot="1" x14ac:dyDescent="0.4">
      <c r="A19" s="11">
        <v>2018</v>
      </c>
      <c r="B19" s="11" t="s">
        <v>50</v>
      </c>
      <c r="C19" s="11" t="s">
        <v>36</v>
      </c>
      <c r="D19" s="11" t="s">
        <v>58</v>
      </c>
      <c r="E19" s="11">
        <v>38161</v>
      </c>
      <c r="F19" s="12">
        <v>45182</v>
      </c>
      <c r="G19" s="24">
        <f t="shared" si="0"/>
        <v>3816.1000000000004</v>
      </c>
      <c r="H19" s="27" t="str">
        <f t="shared" si="1"/>
        <v>Eligible</v>
      </c>
    </row>
    <row r="20" spans="1:17" ht="15.5" customHeight="1" thickBot="1" x14ac:dyDescent="0.4">
      <c r="A20" s="9">
        <v>2019</v>
      </c>
      <c r="B20" s="9" t="s">
        <v>38</v>
      </c>
      <c r="C20" s="9" t="s">
        <v>36</v>
      </c>
      <c r="D20" s="9" t="s">
        <v>59</v>
      </c>
      <c r="E20" s="9">
        <v>30436</v>
      </c>
      <c r="F20" s="13">
        <v>45197</v>
      </c>
      <c r="G20" s="24">
        <f t="shared" si="0"/>
        <v>3043.6000000000004</v>
      </c>
      <c r="H20" s="27" t="str">
        <f t="shared" si="1"/>
        <v>Eligible</v>
      </c>
    </row>
    <row r="21" spans="1:17" ht="15.5" customHeight="1" thickBot="1" x14ac:dyDescent="0.4">
      <c r="A21" s="14">
        <v>2020</v>
      </c>
      <c r="B21" s="14" t="s">
        <v>35</v>
      </c>
      <c r="C21" s="14" t="s">
        <v>36</v>
      </c>
      <c r="D21" s="14" t="s">
        <v>60</v>
      </c>
      <c r="E21" s="14">
        <v>33953</v>
      </c>
      <c r="F21" s="15">
        <v>45212</v>
      </c>
      <c r="G21" s="25">
        <f t="shared" si="0"/>
        <v>3395.3</v>
      </c>
      <c r="H21" s="27" t="str">
        <f t="shared" si="1"/>
        <v>Eligible</v>
      </c>
      <c r="M21" s="60" t="s">
        <v>130</v>
      </c>
      <c r="N21" s="60" t="s">
        <v>131</v>
      </c>
    </row>
    <row r="22" spans="1:17" ht="15.5" customHeight="1" x14ac:dyDescent="0.35">
      <c r="M22" s="57">
        <v>2007</v>
      </c>
      <c r="N22" s="57" t="str">
        <f>VLOOKUP($M$22, $A$2:$E$21, COLUMN(B1), 0)</f>
        <v>Mouse</v>
      </c>
      <c r="O22" s="57" t="str">
        <f t="shared" ref="O22:Q22" si="2">VLOOKUP($M$22, $A$2:$E$21, COLUMN(C1), 0)</f>
        <v>East</v>
      </c>
      <c r="P22" s="57" t="str">
        <f t="shared" si="2"/>
        <v>Person 7</v>
      </c>
      <c r="Q22" s="84">
        <f t="shared" si="2"/>
        <v>32058</v>
      </c>
    </row>
    <row r="23" spans="1:17" ht="15.5" customHeight="1" x14ac:dyDescent="0.35">
      <c r="F23" s="87" t="s">
        <v>132</v>
      </c>
    </row>
    <row r="24" spans="1:17" ht="15.5" customHeight="1" x14ac:dyDescent="0.35">
      <c r="F24" s="87" t="s">
        <v>133</v>
      </c>
    </row>
    <row r="25" spans="1:17" ht="15.5" customHeight="1" x14ac:dyDescent="0.35">
      <c r="F25" s="88" t="s">
        <v>134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67" workbookViewId="0">
      <selection activeCell="N23" sqref="N23"/>
    </sheetView>
  </sheetViews>
  <sheetFormatPr defaultColWidth="14.36328125" defaultRowHeight="17.5" customHeight="1" x14ac:dyDescent="0.35"/>
  <cols>
    <col min="5" max="5" width="22.81640625" customWidth="1"/>
    <col min="8" max="8" width="6.7265625" customWidth="1"/>
    <col min="11" max="11" width="5.1796875" customWidth="1"/>
    <col min="12" max="12" width="17.453125" customWidth="1"/>
    <col min="15" max="15" width="24.26953125" customWidth="1"/>
  </cols>
  <sheetData>
    <row r="1" spans="1:15" ht="17.5" customHeight="1" thickBot="1" x14ac:dyDescent="0.4">
      <c r="A1" s="8" t="s">
        <v>61</v>
      </c>
      <c r="B1" s="8" t="s">
        <v>1</v>
      </c>
      <c r="C1" s="8" t="s">
        <v>62</v>
      </c>
      <c r="D1" s="8" t="s">
        <v>63</v>
      </c>
      <c r="E1" s="8" t="s">
        <v>64</v>
      </c>
      <c r="F1" s="51" t="s">
        <v>117</v>
      </c>
      <c r="G1" s="49" t="s">
        <v>118</v>
      </c>
      <c r="I1" s="37" t="s">
        <v>119</v>
      </c>
      <c r="J1" s="37" t="s">
        <v>63</v>
      </c>
      <c r="L1" s="60" t="s">
        <v>125</v>
      </c>
      <c r="M1" s="49" t="s">
        <v>126</v>
      </c>
      <c r="N1" s="66" t="s">
        <v>127</v>
      </c>
      <c r="O1" s="67" t="s">
        <v>64</v>
      </c>
    </row>
    <row r="2" spans="1:15" ht="17.5" customHeight="1" thickBot="1" x14ac:dyDescent="0.4">
      <c r="A2" s="16">
        <v>3001</v>
      </c>
      <c r="B2" s="16" t="s">
        <v>65</v>
      </c>
      <c r="C2" s="16" t="s">
        <v>66</v>
      </c>
      <c r="D2" s="16">
        <v>86766</v>
      </c>
      <c r="E2" s="17">
        <v>42005</v>
      </c>
      <c r="F2" s="52" t="str">
        <f>UPPER(B2)</f>
        <v>EMPLOYEE 1</v>
      </c>
      <c r="G2" s="50" t="str">
        <f>LOWER(C2)</f>
        <v>finance</v>
      </c>
      <c r="I2" s="48" t="s">
        <v>85</v>
      </c>
      <c r="J2" s="92">
        <f>VLOOKUP(I2,$B$2:$D$21,3,FALSE)</f>
        <v>86915</v>
      </c>
      <c r="L2" s="57">
        <f>DAY(E2)</f>
        <v>1</v>
      </c>
      <c r="M2" s="54">
        <f>MONTH(E2)</f>
        <v>1</v>
      </c>
      <c r="N2" s="86">
        <f>YEAR(E2)</f>
        <v>2015</v>
      </c>
      <c r="O2" s="68">
        <v>42005</v>
      </c>
    </row>
    <row r="3" spans="1:15" ht="17.5" customHeight="1" thickBot="1" x14ac:dyDescent="0.4">
      <c r="A3" s="11">
        <v>3002</v>
      </c>
      <c r="B3" s="11" t="s">
        <v>67</v>
      </c>
      <c r="C3" s="11" t="s">
        <v>66</v>
      </c>
      <c r="D3" s="11">
        <v>31943</v>
      </c>
      <c r="E3" s="46">
        <v>42255</v>
      </c>
      <c r="F3" s="52" t="str">
        <f t="shared" ref="F3:F21" si="0">UPPER(B3)</f>
        <v>EMPLOYEE 2</v>
      </c>
      <c r="G3" s="50" t="str">
        <f t="shared" ref="G3:G21" si="1">LOWER(C3)</f>
        <v>finance</v>
      </c>
      <c r="L3" s="57">
        <f t="shared" ref="L3:L22" si="2">DAY(E3)</f>
        <v>8</v>
      </c>
      <c r="M3" s="54">
        <f t="shared" ref="M3:M21" si="3">MONTH(E3)</f>
        <v>9</v>
      </c>
      <c r="N3" s="86">
        <f t="shared" ref="N3:N21" si="4">YEAR(E3)</f>
        <v>2015</v>
      </c>
      <c r="O3" s="69">
        <v>42255</v>
      </c>
    </row>
    <row r="4" spans="1:15" ht="17.5" customHeight="1" thickBot="1" x14ac:dyDescent="0.4">
      <c r="A4" s="16">
        <v>3003</v>
      </c>
      <c r="B4" s="16" t="s">
        <v>68</v>
      </c>
      <c r="C4" s="16" t="s">
        <v>69</v>
      </c>
      <c r="D4" s="16">
        <v>63374</v>
      </c>
      <c r="E4" s="17">
        <v>42505</v>
      </c>
      <c r="F4" s="52" t="str">
        <f t="shared" si="0"/>
        <v>EMPLOYEE 3</v>
      </c>
      <c r="G4" s="50" t="str">
        <f t="shared" si="1"/>
        <v>hr</v>
      </c>
      <c r="L4" s="57">
        <f t="shared" si="2"/>
        <v>15</v>
      </c>
      <c r="M4" s="54">
        <f t="shared" si="3"/>
        <v>5</v>
      </c>
      <c r="N4" s="86">
        <f t="shared" si="4"/>
        <v>2016</v>
      </c>
      <c r="O4" s="68">
        <v>42505</v>
      </c>
    </row>
    <row r="5" spans="1:15" ht="17.5" customHeight="1" thickBot="1" x14ac:dyDescent="0.4">
      <c r="A5" s="11">
        <v>3004</v>
      </c>
      <c r="B5" s="11" t="s">
        <v>70</v>
      </c>
      <c r="C5" s="11" t="s">
        <v>66</v>
      </c>
      <c r="D5" s="11">
        <v>109972</v>
      </c>
      <c r="E5" s="46">
        <v>42755</v>
      </c>
      <c r="F5" s="52" t="str">
        <f t="shared" si="0"/>
        <v>EMPLOYEE 4</v>
      </c>
      <c r="G5" s="50" t="str">
        <f t="shared" si="1"/>
        <v>finance</v>
      </c>
      <c r="I5" s="26" t="s">
        <v>119</v>
      </c>
      <c r="J5" s="26" t="s">
        <v>120</v>
      </c>
      <c r="L5" s="57">
        <f t="shared" si="2"/>
        <v>20</v>
      </c>
      <c r="M5" s="54">
        <f t="shared" si="3"/>
        <v>1</v>
      </c>
      <c r="N5" s="86">
        <f t="shared" si="4"/>
        <v>2017</v>
      </c>
      <c r="O5" s="69">
        <v>42755</v>
      </c>
    </row>
    <row r="6" spans="1:15" ht="17.5" customHeight="1" thickBot="1" x14ac:dyDescent="0.4">
      <c r="A6" s="16">
        <v>3005</v>
      </c>
      <c r="B6" s="16" t="s">
        <v>71</v>
      </c>
      <c r="C6" s="16" t="s">
        <v>72</v>
      </c>
      <c r="D6" s="16">
        <v>54149</v>
      </c>
      <c r="E6" s="17">
        <v>43005</v>
      </c>
      <c r="F6" s="52" t="str">
        <f t="shared" si="0"/>
        <v>EMPLOYEE 5</v>
      </c>
      <c r="G6" s="50" t="str">
        <f t="shared" si="1"/>
        <v>it</v>
      </c>
      <c r="I6" s="29" t="s">
        <v>73</v>
      </c>
      <c r="J6" s="91">
        <f>INDEX(D2:D251,MATCH(I6,B2:B21,0))</f>
        <v>78689</v>
      </c>
      <c r="L6" s="57">
        <f t="shared" si="2"/>
        <v>27</v>
      </c>
      <c r="M6" s="54">
        <f t="shared" si="3"/>
        <v>9</v>
      </c>
      <c r="N6" s="86">
        <f t="shared" si="4"/>
        <v>2017</v>
      </c>
      <c r="O6" s="68">
        <v>43005</v>
      </c>
    </row>
    <row r="7" spans="1:15" ht="17.5" customHeight="1" thickBot="1" x14ac:dyDescent="0.4">
      <c r="A7" s="11">
        <v>3006</v>
      </c>
      <c r="B7" s="11" t="s">
        <v>73</v>
      </c>
      <c r="C7" s="11" t="s">
        <v>72</v>
      </c>
      <c r="D7" s="11">
        <v>78689</v>
      </c>
      <c r="E7" s="46">
        <v>43255</v>
      </c>
      <c r="F7" s="52" t="str">
        <f t="shared" si="0"/>
        <v>EMPLOYEE 6</v>
      </c>
      <c r="G7" s="50" t="str">
        <f t="shared" si="1"/>
        <v>it</v>
      </c>
      <c r="L7" s="57">
        <f t="shared" si="2"/>
        <v>4</v>
      </c>
      <c r="M7" s="54">
        <f t="shared" si="3"/>
        <v>6</v>
      </c>
      <c r="N7" s="86">
        <f t="shared" si="4"/>
        <v>2018</v>
      </c>
      <c r="O7" s="69">
        <v>43255</v>
      </c>
    </row>
    <row r="8" spans="1:15" ht="17.5" customHeight="1" thickBot="1" x14ac:dyDescent="0.4">
      <c r="A8" s="16">
        <v>3007</v>
      </c>
      <c r="B8" s="16" t="s">
        <v>74</v>
      </c>
      <c r="C8" s="16" t="s">
        <v>75</v>
      </c>
      <c r="D8" s="16">
        <v>35960</v>
      </c>
      <c r="E8" s="17">
        <v>43505</v>
      </c>
      <c r="F8" s="52" t="str">
        <f t="shared" si="0"/>
        <v>EMPLOYEE 7</v>
      </c>
      <c r="G8" s="50" t="str">
        <f t="shared" si="1"/>
        <v>marketing</v>
      </c>
      <c r="L8" s="57">
        <f t="shared" si="2"/>
        <v>9</v>
      </c>
      <c r="M8" s="54">
        <f t="shared" si="3"/>
        <v>2</v>
      </c>
      <c r="N8" s="86">
        <f t="shared" si="4"/>
        <v>2019</v>
      </c>
      <c r="O8" s="68">
        <v>43505</v>
      </c>
    </row>
    <row r="9" spans="1:15" ht="17.5" customHeight="1" thickBot="1" x14ac:dyDescent="0.4">
      <c r="A9" s="11">
        <v>3008</v>
      </c>
      <c r="B9" s="11" t="s">
        <v>76</v>
      </c>
      <c r="C9" s="11" t="s">
        <v>72</v>
      </c>
      <c r="D9" s="11">
        <v>91659</v>
      </c>
      <c r="E9" s="46">
        <v>43755</v>
      </c>
      <c r="F9" s="52" t="str">
        <f t="shared" si="0"/>
        <v>EMPLOYEE 8</v>
      </c>
      <c r="G9" s="50" t="str">
        <f t="shared" si="1"/>
        <v>it</v>
      </c>
      <c r="I9" s="53" t="s">
        <v>123</v>
      </c>
      <c r="J9" s="53" t="s">
        <v>30</v>
      </c>
      <c r="L9" s="57">
        <f t="shared" si="2"/>
        <v>17</v>
      </c>
      <c r="M9" s="54">
        <f t="shared" si="3"/>
        <v>10</v>
      </c>
      <c r="N9" s="86">
        <f t="shared" si="4"/>
        <v>2019</v>
      </c>
      <c r="O9" s="69">
        <v>43755</v>
      </c>
    </row>
    <row r="10" spans="1:15" ht="17.5" customHeight="1" thickBot="1" x14ac:dyDescent="0.4">
      <c r="A10" s="16">
        <v>3009</v>
      </c>
      <c r="B10" s="16" t="s">
        <v>77</v>
      </c>
      <c r="C10" s="16" t="s">
        <v>72</v>
      </c>
      <c r="D10" s="16">
        <v>90423</v>
      </c>
      <c r="E10" s="17">
        <v>44005</v>
      </c>
      <c r="F10" s="52" t="str">
        <f t="shared" si="0"/>
        <v>EMPLOYEE 9</v>
      </c>
      <c r="G10" s="50" t="str">
        <f t="shared" si="1"/>
        <v>it</v>
      </c>
      <c r="I10" s="55" t="s">
        <v>80</v>
      </c>
      <c r="J10" s="58">
        <f>INDEX(D2:D21, MATCH(I10, B2:B21, 0))</f>
        <v>35226</v>
      </c>
      <c r="L10" s="57">
        <f t="shared" si="2"/>
        <v>23</v>
      </c>
      <c r="M10" s="54">
        <f t="shared" si="3"/>
        <v>6</v>
      </c>
      <c r="N10" s="86">
        <f t="shared" si="4"/>
        <v>2020</v>
      </c>
      <c r="O10" s="68">
        <v>44005</v>
      </c>
    </row>
    <row r="11" spans="1:15" ht="17.5" customHeight="1" thickBot="1" x14ac:dyDescent="0.4">
      <c r="A11" s="11">
        <v>3010</v>
      </c>
      <c r="B11" s="11" t="s">
        <v>78</v>
      </c>
      <c r="C11" s="11" t="s">
        <v>69</v>
      </c>
      <c r="D11" s="11">
        <v>107877</v>
      </c>
      <c r="E11" s="46">
        <v>44255</v>
      </c>
      <c r="F11" s="52" t="str">
        <f t="shared" si="0"/>
        <v>EMPLOYEE 10</v>
      </c>
      <c r="G11" s="50" t="str">
        <f t="shared" si="1"/>
        <v>hr</v>
      </c>
      <c r="L11" s="57">
        <f t="shared" si="2"/>
        <v>28</v>
      </c>
      <c r="M11" s="54">
        <f t="shared" si="3"/>
        <v>2</v>
      </c>
      <c r="N11" s="86">
        <f t="shared" si="4"/>
        <v>2021</v>
      </c>
      <c r="O11" s="69">
        <v>44255</v>
      </c>
    </row>
    <row r="12" spans="1:15" ht="17.5" customHeight="1" thickBot="1" x14ac:dyDescent="0.4">
      <c r="A12" s="16">
        <v>3011</v>
      </c>
      <c r="B12" s="16" t="s">
        <v>79</v>
      </c>
      <c r="C12" s="16" t="s">
        <v>66</v>
      </c>
      <c r="D12" s="16">
        <v>107634</v>
      </c>
      <c r="E12" s="17">
        <v>44505</v>
      </c>
      <c r="F12" s="52" t="str">
        <f t="shared" si="0"/>
        <v>EMPLOYEE 11</v>
      </c>
      <c r="G12" s="50" t="str">
        <f t="shared" si="1"/>
        <v>finance</v>
      </c>
      <c r="L12" s="57">
        <f t="shared" si="2"/>
        <v>5</v>
      </c>
      <c r="M12" s="54">
        <f t="shared" si="3"/>
        <v>11</v>
      </c>
      <c r="N12" s="86">
        <f t="shared" si="4"/>
        <v>2021</v>
      </c>
      <c r="O12" s="68">
        <v>44505</v>
      </c>
    </row>
    <row r="13" spans="1:15" ht="17.5" customHeight="1" thickBot="1" x14ac:dyDescent="0.4">
      <c r="A13" s="11">
        <v>3012</v>
      </c>
      <c r="B13" s="11" t="s">
        <v>80</v>
      </c>
      <c r="C13" s="11" t="s">
        <v>66</v>
      </c>
      <c r="D13" s="11">
        <v>35226</v>
      </c>
      <c r="E13" s="46">
        <v>44755</v>
      </c>
      <c r="F13" s="52" t="str">
        <f t="shared" si="0"/>
        <v>EMPLOYEE 12</v>
      </c>
      <c r="G13" s="50" t="str">
        <f t="shared" si="1"/>
        <v>finance</v>
      </c>
      <c r="I13" s="56" t="s">
        <v>122</v>
      </c>
      <c r="L13" s="57">
        <f t="shared" si="2"/>
        <v>13</v>
      </c>
      <c r="M13" s="54">
        <f t="shared" si="3"/>
        <v>7</v>
      </c>
      <c r="N13" s="86">
        <f t="shared" si="4"/>
        <v>2022</v>
      </c>
      <c r="O13" s="69">
        <v>44755</v>
      </c>
    </row>
    <row r="14" spans="1:15" ht="17.5" customHeight="1" thickBot="1" x14ac:dyDescent="0.4">
      <c r="A14" s="16">
        <v>3013</v>
      </c>
      <c r="B14" s="16" t="s">
        <v>81</v>
      </c>
      <c r="C14" s="16" t="s">
        <v>69</v>
      </c>
      <c r="D14" s="16">
        <v>40872</v>
      </c>
      <c r="E14" s="17">
        <v>45005</v>
      </c>
      <c r="F14" s="52" t="str">
        <f t="shared" si="0"/>
        <v>EMPLOYEE 13</v>
      </c>
      <c r="G14" s="50" t="str">
        <f t="shared" si="1"/>
        <v>hr</v>
      </c>
      <c r="I14" s="57" t="str">
        <f>LEFT(B2,FIND(" ",B2)-3)</f>
        <v>Employ</v>
      </c>
      <c r="L14" s="57">
        <f t="shared" si="2"/>
        <v>20</v>
      </c>
      <c r="M14" s="54">
        <f t="shared" si="3"/>
        <v>3</v>
      </c>
      <c r="N14" s="86">
        <f t="shared" si="4"/>
        <v>2023</v>
      </c>
      <c r="O14" s="68">
        <v>45005</v>
      </c>
    </row>
    <row r="15" spans="1:15" ht="17.5" customHeight="1" thickBot="1" x14ac:dyDescent="0.4">
      <c r="A15" s="11">
        <v>3014</v>
      </c>
      <c r="B15" s="11" t="s">
        <v>82</v>
      </c>
      <c r="C15" s="11" t="s">
        <v>69</v>
      </c>
      <c r="D15" s="11">
        <v>55378</v>
      </c>
      <c r="E15" s="46">
        <v>45255</v>
      </c>
      <c r="F15" s="52" t="str">
        <f t="shared" si="0"/>
        <v>EMPLOYEE 14</v>
      </c>
      <c r="G15" s="50" t="str">
        <f t="shared" si="1"/>
        <v>hr</v>
      </c>
      <c r="L15" s="57">
        <f t="shared" si="2"/>
        <v>25</v>
      </c>
      <c r="M15" s="54">
        <f t="shared" si="3"/>
        <v>11</v>
      </c>
      <c r="N15" s="86">
        <f t="shared" si="4"/>
        <v>2023</v>
      </c>
      <c r="O15" s="69">
        <v>45255</v>
      </c>
    </row>
    <row r="16" spans="1:15" ht="17.5" customHeight="1" thickBot="1" x14ac:dyDescent="0.4">
      <c r="A16" s="16">
        <v>3015</v>
      </c>
      <c r="B16" s="16" t="s">
        <v>83</v>
      </c>
      <c r="C16" s="16" t="s">
        <v>69</v>
      </c>
      <c r="D16" s="16">
        <v>63297</v>
      </c>
      <c r="E16" s="17">
        <v>45505</v>
      </c>
      <c r="F16" s="52" t="str">
        <f t="shared" si="0"/>
        <v>EMPLOYEE 15</v>
      </c>
      <c r="G16" s="50" t="str">
        <f t="shared" si="1"/>
        <v>hr</v>
      </c>
      <c r="L16" s="57">
        <f t="shared" si="2"/>
        <v>1</v>
      </c>
      <c r="M16" s="54">
        <f t="shared" si="3"/>
        <v>8</v>
      </c>
      <c r="N16" s="86">
        <f t="shared" si="4"/>
        <v>2024</v>
      </c>
      <c r="O16" s="68">
        <v>45505</v>
      </c>
    </row>
    <row r="17" spans="1:16" ht="17.5" customHeight="1" thickBot="1" x14ac:dyDescent="0.4">
      <c r="A17" s="11">
        <v>3016</v>
      </c>
      <c r="B17" s="11" t="s">
        <v>84</v>
      </c>
      <c r="C17" s="11" t="s">
        <v>66</v>
      </c>
      <c r="D17" s="11">
        <v>114173</v>
      </c>
      <c r="E17" s="46">
        <v>45755</v>
      </c>
      <c r="F17" s="52" t="str">
        <f t="shared" si="0"/>
        <v>EMPLOYEE 16</v>
      </c>
      <c r="G17" s="50" t="str">
        <f t="shared" si="1"/>
        <v>finance</v>
      </c>
      <c r="I17" s="59" t="s">
        <v>121</v>
      </c>
      <c r="J17" s="59" t="s">
        <v>63</v>
      </c>
      <c r="L17" s="57">
        <f t="shared" si="2"/>
        <v>8</v>
      </c>
      <c r="M17" s="54">
        <f t="shared" si="3"/>
        <v>4</v>
      </c>
      <c r="N17" s="86">
        <f t="shared" si="4"/>
        <v>2025</v>
      </c>
      <c r="O17" s="69">
        <v>45755</v>
      </c>
    </row>
    <row r="18" spans="1:16" ht="17.5" customHeight="1" thickBot="1" x14ac:dyDescent="0.4">
      <c r="A18" s="16">
        <v>3017</v>
      </c>
      <c r="B18" s="16" t="s">
        <v>85</v>
      </c>
      <c r="C18" s="16" t="s">
        <v>69</v>
      </c>
      <c r="D18" s="16">
        <v>86915</v>
      </c>
      <c r="E18" s="17">
        <v>46005</v>
      </c>
      <c r="F18" s="52" t="str">
        <f t="shared" si="0"/>
        <v>EMPLOYEE 17</v>
      </c>
      <c r="G18" s="50" t="str">
        <f t="shared" si="1"/>
        <v>hr</v>
      </c>
      <c r="I18" s="61" t="s">
        <v>74</v>
      </c>
      <c r="J18" s="62">
        <f>VLOOKUP(I18,B2:D21, 3, 0)</f>
        <v>35960</v>
      </c>
      <c r="L18" s="57">
        <f t="shared" si="2"/>
        <v>14</v>
      </c>
      <c r="M18" s="54">
        <f t="shared" si="3"/>
        <v>12</v>
      </c>
      <c r="N18" s="86">
        <f t="shared" si="4"/>
        <v>2025</v>
      </c>
      <c r="O18" s="68">
        <v>46005</v>
      </c>
    </row>
    <row r="19" spans="1:16" ht="17.5" customHeight="1" thickBot="1" x14ac:dyDescent="0.4">
      <c r="A19" s="11">
        <v>3018</v>
      </c>
      <c r="B19" s="11" t="s">
        <v>86</v>
      </c>
      <c r="C19" s="11" t="s">
        <v>72</v>
      </c>
      <c r="D19" s="11">
        <v>116284</v>
      </c>
      <c r="E19" s="46">
        <v>46255</v>
      </c>
      <c r="F19" s="52" t="str">
        <f t="shared" si="0"/>
        <v>EMPLOYEE 18</v>
      </c>
      <c r="G19" s="50" t="str">
        <f t="shared" si="1"/>
        <v>it</v>
      </c>
      <c r="L19" s="57">
        <f t="shared" si="2"/>
        <v>21</v>
      </c>
      <c r="M19" s="54">
        <f t="shared" si="3"/>
        <v>8</v>
      </c>
      <c r="N19" s="86">
        <f t="shared" si="4"/>
        <v>2026</v>
      </c>
      <c r="O19" s="69">
        <v>46255</v>
      </c>
    </row>
    <row r="20" spans="1:16" ht="17.5" customHeight="1" thickBot="1" x14ac:dyDescent="0.4">
      <c r="A20" s="16">
        <v>3019</v>
      </c>
      <c r="B20" s="16" t="s">
        <v>87</v>
      </c>
      <c r="C20" s="16" t="s">
        <v>75</v>
      </c>
      <c r="D20" s="16">
        <v>116283</v>
      </c>
      <c r="E20" s="17">
        <v>46505</v>
      </c>
      <c r="F20" s="52" t="str">
        <f t="shared" si="0"/>
        <v>EMPLOYEE 19</v>
      </c>
      <c r="G20" s="50" t="str">
        <f t="shared" si="1"/>
        <v>marketing</v>
      </c>
      <c r="L20" s="57">
        <f t="shared" si="2"/>
        <v>28</v>
      </c>
      <c r="M20" s="54">
        <f t="shared" si="3"/>
        <v>4</v>
      </c>
      <c r="N20" s="86">
        <f t="shared" si="4"/>
        <v>2027</v>
      </c>
      <c r="O20" s="68">
        <v>46505</v>
      </c>
    </row>
    <row r="21" spans="1:16" ht="17.5" customHeight="1" thickBot="1" x14ac:dyDescent="0.4">
      <c r="A21" s="14">
        <v>3020</v>
      </c>
      <c r="B21" s="14" t="s">
        <v>88</v>
      </c>
      <c r="C21" s="14" t="s">
        <v>75</v>
      </c>
      <c r="D21" s="14">
        <v>99924</v>
      </c>
      <c r="E21" s="47">
        <v>46755</v>
      </c>
      <c r="F21" s="52" t="str">
        <f t="shared" si="0"/>
        <v>EMPLOYEE 20</v>
      </c>
      <c r="G21" s="50" t="str">
        <f t="shared" si="1"/>
        <v>marketing</v>
      </c>
      <c r="I21" s="63" t="s">
        <v>1</v>
      </c>
      <c r="J21" s="63" t="s">
        <v>124</v>
      </c>
      <c r="L21" s="57">
        <f t="shared" si="2"/>
        <v>3</v>
      </c>
      <c r="M21" s="54">
        <f t="shared" si="3"/>
        <v>1</v>
      </c>
      <c r="N21" s="86">
        <f t="shared" si="4"/>
        <v>2028</v>
      </c>
      <c r="O21" s="69">
        <v>46755</v>
      </c>
    </row>
    <row r="22" spans="1:16" ht="17.5" customHeight="1" x14ac:dyDescent="0.35">
      <c r="I22" s="52" t="s">
        <v>78</v>
      </c>
      <c r="J22" s="64">
        <f>INDEX(E2:E21,MATCH(I22,B2:B21,0))</f>
        <v>44255</v>
      </c>
    </row>
    <row r="23" spans="1:16" ht="17.5" customHeight="1" x14ac:dyDescent="0.35">
      <c r="E23" s="87" t="s">
        <v>132</v>
      </c>
    </row>
    <row r="24" spans="1:16" ht="17.5" customHeight="1" x14ac:dyDescent="0.35">
      <c r="E24" s="87" t="s">
        <v>133</v>
      </c>
      <c r="L24" s="75" t="s">
        <v>130</v>
      </c>
      <c r="M24" s="75" t="s">
        <v>131</v>
      </c>
    </row>
    <row r="25" spans="1:16" ht="17.5" customHeight="1" x14ac:dyDescent="0.35">
      <c r="E25" s="88" t="s">
        <v>134</v>
      </c>
      <c r="L25" s="52">
        <v>3012</v>
      </c>
      <c r="M25" s="52" t="str">
        <f>VLOOKUP($L$25, $A$2:$E$21, COLUMN(B1), 0)</f>
        <v>Employee 12</v>
      </c>
      <c r="N25" s="52">
        <v>3013</v>
      </c>
      <c r="O25" s="52">
        <f t="shared" ref="O25" si="5">VLOOKUP($L$25, $A$2:$E$21, COLUMN(D1), 0)</f>
        <v>35226</v>
      </c>
      <c r="P25" s="52">
        <v>3014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stu.data</vt:lpstr>
      <vt:lpstr>sales data</vt:lpstr>
      <vt:lpstr>emp.data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2026-02-07T16:18:19Z</dcterms:created>
  <dcterms:modified xsi:type="dcterms:W3CDTF">2026-02-09T12:11:54Z</dcterms:modified>
</cp:coreProperties>
</file>