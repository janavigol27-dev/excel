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Admin\Downloads\"/>
    </mc:Choice>
  </mc:AlternateContent>
  <bookViews>
    <workbookView xWindow="0" yWindow="0" windowWidth="19200" windowHeight="7550" activeTab="4"/>
  </bookViews>
  <sheets>
    <sheet name="Descriptive Statistic" sheetId="4" r:id="rId1"/>
    <sheet name="Linear Regression" sheetId="8" r:id="rId2"/>
    <sheet name="Pivote Table" sheetId="11" r:id="rId3"/>
    <sheet name="Main Data" sheetId="1" r:id="rId4"/>
    <sheet name="Dash Board" sheetId="12" r:id="rId5"/>
  </sheets>
  <definedNames>
    <definedName name="NativeTimeline_order_date">#N/A</definedName>
    <definedName name="Slicer_customer_region">#N/A</definedName>
    <definedName name="Slicer_product_category">#N/A</definedName>
  </definedNames>
  <calcPr calcId="162913"/>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1" l="1"/>
  <c r="P2" i="1"/>
  <c r="O2" i="1"/>
  <c r="P481" i="1"/>
  <c r="O481" i="1"/>
  <c r="Q8" i="11" l="1"/>
  <c r="Q4" i="11"/>
  <c r="O486"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2" i="1"/>
  <c r="P483" i="1"/>
  <c r="P484" i="1"/>
  <c r="P485" i="1"/>
  <c r="P486" i="1"/>
  <c r="P487" i="1"/>
  <c r="P488" i="1"/>
  <c r="P489" i="1"/>
  <c r="P490" i="1"/>
  <c r="P491" i="1"/>
  <c r="P492" i="1"/>
  <c r="P493" i="1"/>
  <c r="P494" i="1"/>
  <c r="P495" i="1"/>
  <c r="P496" i="1"/>
  <c r="P497" i="1"/>
  <c r="P498" i="1"/>
  <c r="P499" i="1"/>
  <c r="P500" i="1"/>
  <c r="P501"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2" i="1"/>
  <c r="O483" i="1"/>
  <c r="O484" i="1"/>
  <c r="O485" i="1"/>
  <c r="O487" i="1"/>
  <c r="O488" i="1"/>
  <c r="O489" i="1"/>
  <c r="O490" i="1"/>
  <c r="O491" i="1"/>
  <c r="O492" i="1"/>
  <c r="O493" i="1"/>
  <c r="O494" i="1"/>
  <c r="O495" i="1"/>
  <c r="O496" i="1"/>
  <c r="O497" i="1"/>
  <c r="O498" i="1"/>
  <c r="O499" i="1"/>
  <c r="O500" i="1"/>
  <c r="O501" i="1"/>
  <c r="O3" i="1"/>
  <c r="O4" i="1"/>
  <c r="O5" i="1"/>
  <c r="O6" i="1"/>
  <c r="O7" i="1"/>
  <c r="O8" i="1"/>
  <c r="S6" i="1" l="1"/>
</calcChain>
</file>

<file path=xl/sharedStrings.xml><?xml version="1.0" encoding="utf-8"?>
<sst xmlns="http://schemas.openxmlformats.org/spreadsheetml/2006/main" count="2164" uniqueCount="589">
  <si>
    <t>order_id</t>
  </si>
  <si>
    <t>order_date</t>
  </si>
  <si>
    <t>product_id</t>
  </si>
  <si>
    <t>product_category</t>
  </si>
  <si>
    <t>price</t>
  </si>
  <si>
    <t>discount_percent</t>
  </si>
  <si>
    <t>quantity_sold</t>
  </si>
  <si>
    <t>customer_region</t>
  </si>
  <si>
    <t>payment_method</t>
  </si>
  <si>
    <t>rating</t>
  </si>
  <si>
    <t>review_count</t>
  </si>
  <si>
    <t>discounted_price</t>
  </si>
  <si>
    <t>total_revenue</t>
  </si>
  <si>
    <t>Books</t>
  </si>
  <si>
    <t>North America</t>
  </si>
  <si>
    <t>UPI</t>
  </si>
  <si>
    <t>Fashion</t>
  </si>
  <si>
    <t>Asia</t>
  </si>
  <si>
    <t>Credit Card</t>
  </si>
  <si>
    <t>Sports</t>
  </si>
  <si>
    <t>Europe</t>
  </si>
  <si>
    <t>Middle East</t>
  </si>
  <si>
    <t>Beauty</t>
  </si>
  <si>
    <t>Wallet</t>
  </si>
  <si>
    <t>Cash on Delivery</t>
  </si>
  <si>
    <t>Electronics</t>
  </si>
  <si>
    <t>Debit Card</t>
  </si>
  <si>
    <t>Home &amp; Kitchen</t>
  </si>
  <si>
    <t>pr.01</t>
  </si>
  <si>
    <t>pr.02</t>
  </si>
  <si>
    <t>pr.03</t>
  </si>
  <si>
    <t>pr.04</t>
  </si>
  <si>
    <t>pr.05</t>
  </si>
  <si>
    <t>pr.06</t>
  </si>
  <si>
    <t>pr.07</t>
  </si>
  <si>
    <t>pr.08</t>
  </si>
  <si>
    <t>pr.09</t>
  </si>
  <si>
    <t>pr.10</t>
  </si>
  <si>
    <t>pr.11</t>
  </si>
  <si>
    <t>pr.12</t>
  </si>
  <si>
    <t>pr.13</t>
  </si>
  <si>
    <t>pr.14</t>
  </si>
  <si>
    <t>pr.15</t>
  </si>
  <si>
    <t>pr.16</t>
  </si>
  <si>
    <t>pr.17</t>
  </si>
  <si>
    <t>pr.18</t>
  </si>
  <si>
    <t>pr.19</t>
  </si>
  <si>
    <t>pr.20</t>
  </si>
  <si>
    <t>pr.21</t>
  </si>
  <si>
    <t>pr.22</t>
  </si>
  <si>
    <t>pr.23</t>
  </si>
  <si>
    <t>pr.24</t>
  </si>
  <si>
    <t>pr.25</t>
  </si>
  <si>
    <t>pr.26</t>
  </si>
  <si>
    <t>pr.27</t>
  </si>
  <si>
    <t>pr.28</t>
  </si>
  <si>
    <t>pr.29</t>
  </si>
  <si>
    <t>pr.30</t>
  </si>
  <si>
    <t>pr.31</t>
  </si>
  <si>
    <t>pr.32</t>
  </si>
  <si>
    <t>pr.33</t>
  </si>
  <si>
    <t>pr.34</t>
  </si>
  <si>
    <t>pr.35</t>
  </si>
  <si>
    <t>pr.36</t>
  </si>
  <si>
    <t>pr.37</t>
  </si>
  <si>
    <t>pr.38</t>
  </si>
  <si>
    <t>pr.39</t>
  </si>
  <si>
    <t>pr.40</t>
  </si>
  <si>
    <t>pr.41</t>
  </si>
  <si>
    <t>pr.42</t>
  </si>
  <si>
    <t>pr.43</t>
  </si>
  <si>
    <t>pr.44</t>
  </si>
  <si>
    <t>pr.45</t>
  </si>
  <si>
    <t>pr.46</t>
  </si>
  <si>
    <t>pr.47</t>
  </si>
  <si>
    <t>pr.48</t>
  </si>
  <si>
    <t>pr.49</t>
  </si>
  <si>
    <t>pr.50</t>
  </si>
  <si>
    <t>pr.51</t>
  </si>
  <si>
    <t>pr.52</t>
  </si>
  <si>
    <t>pr.53</t>
  </si>
  <si>
    <t>pr.54</t>
  </si>
  <si>
    <t>pr.55</t>
  </si>
  <si>
    <t>pr.56</t>
  </si>
  <si>
    <t>pr.57</t>
  </si>
  <si>
    <t>pr.58</t>
  </si>
  <si>
    <t>pr.59</t>
  </si>
  <si>
    <t>pr.60</t>
  </si>
  <si>
    <t>pr.61</t>
  </si>
  <si>
    <t>pr.62</t>
  </si>
  <si>
    <t>pr.63</t>
  </si>
  <si>
    <t>pr.64</t>
  </si>
  <si>
    <t>pr.65</t>
  </si>
  <si>
    <t>pr.66</t>
  </si>
  <si>
    <t>pr.67</t>
  </si>
  <si>
    <t>pr.68</t>
  </si>
  <si>
    <t>pr.69</t>
  </si>
  <si>
    <t>pr.70</t>
  </si>
  <si>
    <t>pr.71</t>
  </si>
  <si>
    <t>pr.72</t>
  </si>
  <si>
    <t>pr.73</t>
  </si>
  <si>
    <t>pr.74</t>
  </si>
  <si>
    <t>pr.75</t>
  </si>
  <si>
    <t>pr.76</t>
  </si>
  <si>
    <t>pr.77</t>
  </si>
  <si>
    <t>pr.78</t>
  </si>
  <si>
    <t>pr.79</t>
  </si>
  <si>
    <t>pr.80</t>
  </si>
  <si>
    <t>pr.81</t>
  </si>
  <si>
    <t>pr.82</t>
  </si>
  <si>
    <t>pr.83</t>
  </si>
  <si>
    <t>pr.84</t>
  </si>
  <si>
    <t>pr.85</t>
  </si>
  <si>
    <t>pr.86</t>
  </si>
  <si>
    <t>pr.87</t>
  </si>
  <si>
    <t>pr.88</t>
  </si>
  <si>
    <t>pr.89</t>
  </si>
  <si>
    <t>pr.90</t>
  </si>
  <si>
    <t>pr.91</t>
  </si>
  <si>
    <t>pr.92</t>
  </si>
  <si>
    <t>pr.93</t>
  </si>
  <si>
    <t>pr.94</t>
  </si>
  <si>
    <t>pr.95</t>
  </si>
  <si>
    <t>pr.96</t>
  </si>
  <si>
    <t>pr.97</t>
  </si>
  <si>
    <t>pr.98</t>
  </si>
  <si>
    <t>pr.99</t>
  </si>
  <si>
    <t>pr.100</t>
  </si>
  <si>
    <t>pr.101</t>
  </si>
  <si>
    <t>pr.102</t>
  </si>
  <si>
    <t>pr.103</t>
  </si>
  <si>
    <t>pr.104</t>
  </si>
  <si>
    <t>pr.105</t>
  </si>
  <si>
    <t>pr.106</t>
  </si>
  <si>
    <t>pr.107</t>
  </si>
  <si>
    <t>pr.108</t>
  </si>
  <si>
    <t>pr.109</t>
  </si>
  <si>
    <t>pr.110</t>
  </si>
  <si>
    <t>pr.111</t>
  </si>
  <si>
    <t>pr.112</t>
  </si>
  <si>
    <t>pr.113</t>
  </si>
  <si>
    <t>pr.114</t>
  </si>
  <si>
    <t>pr.115</t>
  </si>
  <si>
    <t>pr.116</t>
  </si>
  <si>
    <t>pr.117</t>
  </si>
  <si>
    <t>pr.118</t>
  </si>
  <si>
    <t>pr.119</t>
  </si>
  <si>
    <t>pr.120</t>
  </si>
  <si>
    <t>pr.121</t>
  </si>
  <si>
    <t>pr.122</t>
  </si>
  <si>
    <t>pr.123</t>
  </si>
  <si>
    <t>pr.124</t>
  </si>
  <si>
    <t>pr.125</t>
  </si>
  <si>
    <t>pr.126</t>
  </si>
  <si>
    <t>pr.127</t>
  </si>
  <si>
    <t>pr.128</t>
  </si>
  <si>
    <t>pr.129</t>
  </si>
  <si>
    <t>pr.130</t>
  </si>
  <si>
    <t>pr.131</t>
  </si>
  <si>
    <t>pr.132</t>
  </si>
  <si>
    <t>pr.133</t>
  </si>
  <si>
    <t>pr.134</t>
  </si>
  <si>
    <t>pr.135</t>
  </si>
  <si>
    <t>pr.136</t>
  </si>
  <si>
    <t>pr.137</t>
  </si>
  <si>
    <t>pr.138</t>
  </si>
  <si>
    <t>pr.139</t>
  </si>
  <si>
    <t>pr.140</t>
  </si>
  <si>
    <t>pr.141</t>
  </si>
  <si>
    <t>pr.142</t>
  </si>
  <si>
    <t>pr.143</t>
  </si>
  <si>
    <t>pr.144</t>
  </si>
  <si>
    <t>pr.145</t>
  </si>
  <si>
    <t>pr.146</t>
  </si>
  <si>
    <t>pr.147</t>
  </si>
  <si>
    <t>pr.148</t>
  </si>
  <si>
    <t>pr.149</t>
  </si>
  <si>
    <t>pr.150</t>
  </si>
  <si>
    <t>pr.151</t>
  </si>
  <si>
    <t>pr.152</t>
  </si>
  <si>
    <t>pr.153</t>
  </si>
  <si>
    <t>pr.154</t>
  </si>
  <si>
    <t>pr.155</t>
  </si>
  <si>
    <t>pr.156</t>
  </si>
  <si>
    <t>pr.157</t>
  </si>
  <si>
    <t>pr.158</t>
  </si>
  <si>
    <t>pr.159</t>
  </si>
  <si>
    <t>pr.160</t>
  </si>
  <si>
    <t>pr.161</t>
  </si>
  <si>
    <t>pr.162</t>
  </si>
  <si>
    <t>pr.163</t>
  </si>
  <si>
    <t>pr.164</t>
  </si>
  <si>
    <t>pr.165</t>
  </si>
  <si>
    <t>pr.166</t>
  </si>
  <si>
    <t>pr.167</t>
  </si>
  <si>
    <t>pr.168</t>
  </si>
  <si>
    <t>pr.169</t>
  </si>
  <si>
    <t>pr.170</t>
  </si>
  <si>
    <t>pr.171</t>
  </si>
  <si>
    <t>pr.172</t>
  </si>
  <si>
    <t>pr.173</t>
  </si>
  <si>
    <t>pr.174</t>
  </si>
  <si>
    <t>pr.175</t>
  </si>
  <si>
    <t>pr.176</t>
  </si>
  <si>
    <t>pr.177</t>
  </si>
  <si>
    <t>pr.178</t>
  </si>
  <si>
    <t>pr.179</t>
  </si>
  <si>
    <t>pr.180</t>
  </si>
  <si>
    <t>pr.181</t>
  </si>
  <si>
    <t>pr.182</t>
  </si>
  <si>
    <t>pr.183</t>
  </si>
  <si>
    <t>pr.184</t>
  </si>
  <si>
    <t>pr.185</t>
  </si>
  <si>
    <t>pr.186</t>
  </si>
  <si>
    <t>pr.187</t>
  </si>
  <si>
    <t>pr.188</t>
  </si>
  <si>
    <t>pr.189</t>
  </si>
  <si>
    <t>pr.190</t>
  </si>
  <si>
    <t>pr.191</t>
  </si>
  <si>
    <t>pr.192</t>
  </si>
  <si>
    <t>pr.193</t>
  </si>
  <si>
    <t>pr.194</t>
  </si>
  <si>
    <t>pr.195</t>
  </si>
  <si>
    <t>pr.196</t>
  </si>
  <si>
    <t>pr.197</t>
  </si>
  <si>
    <t>pr.198</t>
  </si>
  <si>
    <t>pr.199</t>
  </si>
  <si>
    <t>pr.200</t>
  </si>
  <si>
    <t>pr.201</t>
  </si>
  <si>
    <t>pr.202</t>
  </si>
  <si>
    <t>pr.203</t>
  </si>
  <si>
    <t>pr.204</t>
  </si>
  <si>
    <t>pr.205</t>
  </si>
  <si>
    <t>pr.206</t>
  </si>
  <si>
    <t>pr.207</t>
  </si>
  <si>
    <t>pr.208</t>
  </si>
  <si>
    <t>pr.209</t>
  </si>
  <si>
    <t>pr.210</t>
  </si>
  <si>
    <t>pr.211</t>
  </si>
  <si>
    <t>pr.212</t>
  </si>
  <si>
    <t>pr.213</t>
  </si>
  <si>
    <t>pr.214</t>
  </si>
  <si>
    <t>pr.215</t>
  </si>
  <si>
    <t>pr.216</t>
  </si>
  <si>
    <t>pr.217</t>
  </si>
  <si>
    <t>pr.218</t>
  </si>
  <si>
    <t>pr.219</t>
  </si>
  <si>
    <t>pr.220</t>
  </si>
  <si>
    <t>pr.221</t>
  </si>
  <si>
    <t>pr.222</t>
  </si>
  <si>
    <t>pr.223</t>
  </si>
  <si>
    <t>pr.224</t>
  </si>
  <si>
    <t>pr.225</t>
  </si>
  <si>
    <t>pr.226</t>
  </si>
  <si>
    <t>pr.227</t>
  </si>
  <si>
    <t>pr.228</t>
  </si>
  <si>
    <t>pr.229</t>
  </si>
  <si>
    <t>pr.230</t>
  </si>
  <si>
    <t>pr.231</t>
  </si>
  <si>
    <t>pr.232</t>
  </si>
  <si>
    <t>pr.233</t>
  </si>
  <si>
    <t>pr.234</t>
  </si>
  <si>
    <t>pr.235</t>
  </si>
  <si>
    <t>pr.236</t>
  </si>
  <si>
    <t>pr.237</t>
  </si>
  <si>
    <t>pr.238</t>
  </si>
  <si>
    <t>pr.239</t>
  </si>
  <si>
    <t>pr.240</t>
  </si>
  <si>
    <t>pr.241</t>
  </si>
  <si>
    <t>pr.242</t>
  </si>
  <si>
    <t>pr.243</t>
  </si>
  <si>
    <t>pr.244</t>
  </si>
  <si>
    <t>pr.245</t>
  </si>
  <si>
    <t>pr.246</t>
  </si>
  <si>
    <t>pr.247</t>
  </si>
  <si>
    <t>pr.248</t>
  </si>
  <si>
    <t>pr.249</t>
  </si>
  <si>
    <t>pr.250</t>
  </si>
  <si>
    <t>pr.251</t>
  </si>
  <si>
    <t>pr.252</t>
  </si>
  <si>
    <t>pr.253</t>
  </si>
  <si>
    <t>pr.254</t>
  </si>
  <si>
    <t>pr.255</t>
  </si>
  <si>
    <t>pr.256</t>
  </si>
  <si>
    <t>pr.257</t>
  </si>
  <si>
    <t>pr.258</t>
  </si>
  <si>
    <t>pr.259</t>
  </si>
  <si>
    <t>pr.260</t>
  </si>
  <si>
    <t>pr.261</t>
  </si>
  <si>
    <t>pr.262</t>
  </si>
  <si>
    <t>pr.263</t>
  </si>
  <si>
    <t>pr.264</t>
  </si>
  <si>
    <t>pr.265</t>
  </si>
  <si>
    <t>pr.266</t>
  </si>
  <si>
    <t>pr.267</t>
  </si>
  <si>
    <t>pr.268</t>
  </si>
  <si>
    <t>pr.269</t>
  </si>
  <si>
    <t>pr.270</t>
  </si>
  <si>
    <t>pr.271</t>
  </si>
  <si>
    <t>pr.272</t>
  </si>
  <si>
    <t>pr.273</t>
  </si>
  <si>
    <t>pr.274</t>
  </si>
  <si>
    <t>pr.275</t>
  </si>
  <si>
    <t>pr.276</t>
  </si>
  <si>
    <t>pr.277</t>
  </si>
  <si>
    <t>pr.278</t>
  </si>
  <si>
    <t>pr.279</t>
  </si>
  <si>
    <t>pr.280</t>
  </si>
  <si>
    <t>pr.281</t>
  </si>
  <si>
    <t>pr.282</t>
  </si>
  <si>
    <t>pr.283</t>
  </si>
  <si>
    <t>pr.284</t>
  </si>
  <si>
    <t>pr.285</t>
  </si>
  <si>
    <t>pr.286</t>
  </si>
  <si>
    <t>pr.287</t>
  </si>
  <si>
    <t>pr.288</t>
  </si>
  <si>
    <t>pr.289</t>
  </si>
  <si>
    <t>pr.290</t>
  </si>
  <si>
    <t>pr.291</t>
  </si>
  <si>
    <t>pr.292</t>
  </si>
  <si>
    <t>pr.293</t>
  </si>
  <si>
    <t>pr.294</t>
  </si>
  <si>
    <t>pr.295</t>
  </si>
  <si>
    <t>pr.296</t>
  </si>
  <si>
    <t>pr.297</t>
  </si>
  <si>
    <t>pr.298</t>
  </si>
  <si>
    <t>pr.299</t>
  </si>
  <si>
    <t>pr.300</t>
  </si>
  <si>
    <t>pr.301</t>
  </si>
  <si>
    <t>pr.302</t>
  </si>
  <si>
    <t>pr.303</t>
  </si>
  <si>
    <t>pr.304</t>
  </si>
  <si>
    <t>pr.305</t>
  </si>
  <si>
    <t>pr.306</t>
  </si>
  <si>
    <t>pr.307</t>
  </si>
  <si>
    <t>pr.308</t>
  </si>
  <si>
    <t>pr.309</t>
  </si>
  <si>
    <t>pr.310</t>
  </si>
  <si>
    <t>pr.311</t>
  </si>
  <si>
    <t>pr.312</t>
  </si>
  <si>
    <t>pr.313</t>
  </si>
  <si>
    <t>pr.314</t>
  </si>
  <si>
    <t>pr.315</t>
  </si>
  <si>
    <t>pr.316</t>
  </si>
  <si>
    <t>pr.317</t>
  </si>
  <si>
    <t>pr.318</t>
  </si>
  <si>
    <t>pr.319</t>
  </si>
  <si>
    <t>pr.320</t>
  </si>
  <si>
    <t>pr.321</t>
  </si>
  <si>
    <t>pr.322</t>
  </si>
  <si>
    <t>pr.323</t>
  </si>
  <si>
    <t>pr.324</t>
  </si>
  <si>
    <t>pr.325</t>
  </si>
  <si>
    <t>pr.326</t>
  </si>
  <si>
    <t>pr.327</t>
  </si>
  <si>
    <t>pr.328</t>
  </si>
  <si>
    <t>pr.329</t>
  </si>
  <si>
    <t>pr.330</t>
  </si>
  <si>
    <t>pr.331</t>
  </si>
  <si>
    <t>pr.332</t>
  </si>
  <si>
    <t>pr.333</t>
  </si>
  <si>
    <t>pr.334</t>
  </si>
  <si>
    <t>pr.335</t>
  </si>
  <si>
    <t>pr.336</t>
  </si>
  <si>
    <t>pr.337</t>
  </si>
  <si>
    <t>pr.338</t>
  </si>
  <si>
    <t>pr.339</t>
  </si>
  <si>
    <t>pr.340</t>
  </si>
  <si>
    <t>pr.341</t>
  </si>
  <si>
    <t>pr.342</t>
  </si>
  <si>
    <t>pr.343</t>
  </si>
  <si>
    <t>pr.344</t>
  </si>
  <si>
    <t>pr.345</t>
  </si>
  <si>
    <t>pr.346</t>
  </si>
  <si>
    <t>pr.347</t>
  </si>
  <si>
    <t>pr.348</t>
  </si>
  <si>
    <t>pr.349</t>
  </si>
  <si>
    <t>pr.350</t>
  </si>
  <si>
    <t>pr.351</t>
  </si>
  <si>
    <t>pr.352</t>
  </si>
  <si>
    <t>pr.353</t>
  </si>
  <si>
    <t>pr.354</t>
  </si>
  <si>
    <t>pr.355</t>
  </si>
  <si>
    <t>pr.356</t>
  </si>
  <si>
    <t>pr.357</t>
  </si>
  <si>
    <t>pr.358</t>
  </si>
  <si>
    <t>pr.359</t>
  </si>
  <si>
    <t>pr.360</t>
  </si>
  <si>
    <t>pr.361</t>
  </si>
  <si>
    <t>pr.362</t>
  </si>
  <si>
    <t>pr.363</t>
  </si>
  <si>
    <t>pr.364</t>
  </si>
  <si>
    <t>pr.365</t>
  </si>
  <si>
    <t>pr.366</t>
  </si>
  <si>
    <t>pr.367</t>
  </si>
  <si>
    <t>pr.368</t>
  </si>
  <si>
    <t>pr.369</t>
  </si>
  <si>
    <t>pr.370</t>
  </si>
  <si>
    <t>pr.371</t>
  </si>
  <si>
    <t>pr.372</t>
  </si>
  <si>
    <t>pr.373</t>
  </si>
  <si>
    <t>pr.374</t>
  </si>
  <si>
    <t>pr.375</t>
  </si>
  <si>
    <t>pr.376</t>
  </si>
  <si>
    <t>pr.377</t>
  </si>
  <si>
    <t>pr.378</t>
  </si>
  <si>
    <t>pr.379</t>
  </si>
  <si>
    <t>pr.380</t>
  </si>
  <si>
    <t>pr.381</t>
  </si>
  <si>
    <t>pr.382</t>
  </si>
  <si>
    <t>pr.383</t>
  </si>
  <si>
    <t>pr.384</t>
  </si>
  <si>
    <t>pr.385</t>
  </si>
  <si>
    <t>pr.386</t>
  </si>
  <si>
    <t>pr.387</t>
  </si>
  <si>
    <t>pr.388</t>
  </si>
  <si>
    <t>pr.389</t>
  </si>
  <si>
    <t>pr.390</t>
  </si>
  <si>
    <t>pr.391</t>
  </si>
  <si>
    <t>pr.392</t>
  </si>
  <si>
    <t>pr.393</t>
  </si>
  <si>
    <t>pr.394</t>
  </si>
  <si>
    <t>pr.395</t>
  </si>
  <si>
    <t>pr.396</t>
  </si>
  <si>
    <t>pr.397</t>
  </si>
  <si>
    <t>pr.398</t>
  </si>
  <si>
    <t>pr.399</t>
  </si>
  <si>
    <t>pr.400</t>
  </si>
  <si>
    <t>pr.401</t>
  </si>
  <si>
    <t>pr.402</t>
  </si>
  <si>
    <t>pr.403</t>
  </si>
  <si>
    <t>pr.404</t>
  </si>
  <si>
    <t>pr.405</t>
  </si>
  <si>
    <t>pr.406</t>
  </si>
  <si>
    <t>pr.407</t>
  </si>
  <si>
    <t>pr.408</t>
  </si>
  <si>
    <t>pr.409</t>
  </si>
  <si>
    <t>pr.410</t>
  </si>
  <si>
    <t>pr.411</t>
  </si>
  <si>
    <t>pr.412</t>
  </si>
  <si>
    <t>pr.413</t>
  </si>
  <si>
    <t>pr.414</t>
  </si>
  <si>
    <t>pr.415</t>
  </si>
  <si>
    <t>pr.416</t>
  </si>
  <si>
    <t>pr.417</t>
  </si>
  <si>
    <t>pr.418</t>
  </si>
  <si>
    <t>pr.419</t>
  </si>
  <si>
    <t>pr.420</t>
  </si>
  <si>
    <t>pr.421</t>
  </si>
  <si>
    <t>pr.422</t>
  </si>
  <si>
    <t>pr.423</t>
  </si>
  <si>
    <t>pr.424</t>
  </si>
  <si>
    <t>pr.425</t>
  </si>
  <si>
    <t>pr.426</t>
  </si>
  <si>
    <t>pr.427</t>
  </si>
  <si>
    <t>pr.428</t>
  </si>
  <si>
    <t>pr.429</t>
  </si>
  <si>
    <t>pr.430</t>
  </si>
  <si>
    <t>pr.431</t>
  </si>
  <si>
    <t>pr.432</t>
  </si>
  <si>
    <t>pr.433</t>
  </si>
  <si>
    <t>pr.434</t>
  </si>
  <si>
    <t>pr.435</t>
  </si>
  <si>
    <t>pr.436</t>
  </si>
  <si>
    <t>pr.437</t>
  </si>
  <si>
    <t>pr.438</t>
  </si>
  <si>
    <t>pr.439</t>
  </si>
  <si>
    <t>pr.440</t>
  </si>
  <si>
    <t>pr.441</t>
  </si>
  <si>
    <t>pr.442</t>
  </si>
  <si>
    <t>pr.443</t>
  </si>
  <si>
    <t>pr.444</t>
  </si>
  <si>
    <t>pr.445</t>
  </si>
  <si>
    <t>pr.446</t>
  </si>
  <si>
    <t>pr.447</t>
  </si>
  <si>
    <t>pr.448</t>
  </si>
  <si>
    <t>pr.449</t>
  </si>
  <si>
    <t>pr.450</t>
  </si>
  <si>
    <t>pr.451</t>
  </si>
  <si>
    <t>pr.452</t>
  </si>
  <si>
    <t>pr.453</t>
  </si>
  <si>
    <t>pr.454</t>
  </si>
  <si>
    <t>pr.455</t>
  </si>
  <si>
    <t>pr.456</t>
  </si>
  <si>
    <t>pr.457</t>
  </si>
  <si>
    <t>pr.458</t>
  </si>
  <si>
    <t>pr.459</t>
  </si>
  <si>
    <t>pr.460</t>
  </si>
  <si>
    <t>pr.461</t>
  </si>
  <si>
    <t>pr.462</t>
  </si>
  <si>
    <t>pr.463</t>
  </si>
  <si>
    <t>pr.464</t>
  </si>
  <si>
    <t>pr.465</t>
  </si>
  <si>
    <t>pr.466</t>
  </si>
  <si>
    <t>pr.467</t>
  </si>
  <si>
    <t>pr.468</t>
  </si>
  <si>
    <t>pr.469</t>
  </si>
  <si>
    <t>pr.470</t>
  </si>
  <si>
    <t>pr.471</t>
  </si>
  <si>
    <t>pr.472</t>
  </si>
  <si>
    <t>pr.473</t>
  </si>
  <si>
    <t>pr.474</t>
  </si>
  <si>
    <t>pr.475</t>
  </si>
  <si>
    <t>pr.476</t>
  </si>
  <si>
    <t>pr.477</t>
  </si>
  <si>
    <t>pr.478</t>
  </si>
  <si>
    <t>pr.479</t>
  </si>
  <si>
    <t>pr.480</t>
  </si>
  <si>
    <t>pr.481</t>
  </si>
  <si>
    <t>pr.482</t>
  </si>
  <si>
    <t>pr.483</t>
  </si>
  <si>
    <t>pr.484</t>
  </si>
  <si>
    <t>pr.485</t>
  </si>
  <si>
    <t>pr.486</t>
  </si>
  <si>
    <t>pr.487</t>
  </si>
  <si>
    <t>pr.488</t>
  </si>
  <si>
    <t>pr.489</t>
  </si>
  <si>
    <t>pr.490</t>
  </si>
  <si>
    <t>pr.491</t>
  </si>
  <si>
    <t>pr.492</t>
  </si>
  <si>
    <t>pr.493</t>
  </si>
  <si>
    <t>pr.494</t>
  </si>
  <si>
    <t>pr.495</t>
  </si>
  <si>
    <t>pr.496</t>
  </si>
  <si>
    <t>pr.497</t>
  </si>
  <si>
    <t>pr.498</t>
  </si>
  <si>
    <t>pr.499</t>
  </si>
  <si>
    <t>pr.500</t>
  </si>
  <si>
    <t>Mean</t>
  </si>
  <si>
    <t>Standard Error</t>
  </si>
  <si>
    <t>Median</t>
  </si>
  <si>
    <t>Mode</t>
  </si>
  <si>
    <t>Standard Deviation</t>
  </si>
  <si>
    <t>Sample Variance</t>
  </si>
  <si>
    <t>Kurtosis</t>
  </si>
  <si>
    <t>Skewness</t>
  </si>
  <si>
    <t>Range</t>
  </si>
  <si>
    <t>Minimum</t>
  </si>
  <si>
    <t>Maximum</t>
  </si>
  <si>
    <t>Sum</t>
  </si>
  <si>
    <t>Count</t>
  </si>
  <si>
    <t>Price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</si>
  <si>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</si>
  <si>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</si>
  <si>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</si>
  <si>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</si>
  <si>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</si>
  <si>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</si>
  <si>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</si>
  <si>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</si>
  <si>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</si>
  <si>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</si>
  <si>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</si>
  <si>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</si>
  <si>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</si>
  <si>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</si>
  <si>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</si>
  <si>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</si>
  <si>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</si>
  <si>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</si>
  <si>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</si>
  <si>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</si>
  <si>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</si>
  <si>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</si>
  <si>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</si>
  <si>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</si>
  <si>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Sale_Type</t>
  </si>
  <si>
    <t>Performance</t>
  </si>
  <si>
    <t>Order_id</t>
  </si>
  <si>
    <t>Cus.Region</t>
  </si>
  <si>
    <t>Total_revenue</t>
  </si>
  <si>
    <t>Row Labels</t>
  </si>
  <si>
    <t>Grand Total</t>
  </si>
  <si>
    <t>Jan</t>
  </si>
  <si>
    <t>Feb</t>
  </si>
  <si>
    <t>Mar</t>
  </si>
  <si>
    <t>Apr</t>
  </si>
  <si>
    <t>May</t>
  </si>
  <si>
    <t>Jun</t>
  </si>
  <si>
    <t>Jul</t>
  </si>
  <si>
    <t>Aug</t>
  </si>
  <si>
    <t>Sep</t>
  </si>
  <si>
    <t>Oct</t>
  </si>
  <si>
    <t>Nov</t>
  </si>
  <si>
    <t>Dec</t>
  </si>
  <si>
    <t>Sum of discounted_price</t>
  </si>
  <si>
    <t>Count of discounted_price</t>
  </si>
  <si>
    <t xml:space="preserve">There were no duplicate or missing values in my dataset, but if there were any, </t>
  </si>
  <si>
    <t>I would remove duplicates and fix missing data to keep the data accurate and 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</si>
</sst>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009]dd/mm/yyyy;@"/>
    <numFmt numFmtId="165" formatCode="_ [$₹-4009]\ * #,##0.00_ ;_ [$₹-4009]\ * \-#,##0.00_ ;_ [$₹-4009]\ * &quot;-&quot;??_ ;_ @_ "/>
  </numFmts>
  <fonts count="7" x14ac:knownFonts="1">
    <font>
      <sz val="11"/>
      <color theme="1"/>
      <name val="Calibri"/>
      <family val="2"/>
      <scheme val="minor"/>
    </font>
    <font>
      <b/>
      <sz val="11"/>
      <color theme="1"/>
      <name val="Calibri"/>
      <family val="2"/>
      <scheme val="minor"/>
    </font>
    <font>
      <i/>
      <sz val="11"/>
      <color theme="1"/>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sz val="9"/>
      <color rgb="FF1F1F1F"/>
      <name val="Arial"/>
      <family val="2"/>
    </font>
  </fonts>
  <fills count="11">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1" xfId="0" applyFill="1" applyBorder="1" applyAlignment="1"/>
    <xf numFmtId="0" fontId="0" fillId="0" borderId="0" xfId="0" pivotButton="1"/>
    <xf numFmtId="164" fontId="0" fillId="0" borderId="0" xfId="0" applyNumberFormat="1" applyAlignment="1">
      <alignment horizontal="left"/>
    </xf>
    <xf numFmtId="0" fontId="0" fillId="0" borderId="0" xfId="0" applyAlignment="1">
      <alignment horizontal="left"/>
    </xf>
    <xf numFmtId="0" fontId="0" fillId="0" borderId="0" xfId="0" applyNumberFormat="1"/>
    <xf numFmtId="3" fontId="0" fillId="0" borderId="0" xfId="0" applyNumberFormat="1"/>
    <xf numFmtId="0" fontId="1" fillId="3" borderId="1" xfId="0" applyFont="1" applyFill="1" applyBorder="1" applyAlignment="1">
      <alignment horizontal="center" vertical="center"/>
    </xf>
    <xf numFmtId="0" fontId="0" fillId="5" borderId="1" xfId="0" applyFill="1" applyBorder="1"/>
    <xf numFmtId="164" fontId="0" fillId="5" borderId="1" xfId="0" applyNumberFormat="1" applyFill="1" applyBorder="1"/>
    <xf numFmtId="165" fontId="0" fillId="5" borderId="1" xfId="0" applyNumberFormat="1" applyFill="1" applyBorder="1"/>
    <xf numFmtId="0" fontId="3" fillId="2" borderId="1" xfId="0" applyFont="1" applyFill="1" applyBorder="1" applyAlignment="1">
      <alignment horizontal="center" vertical="center"/>
    </xf>
    <xf numFmtId="0" fontId="4" fillId="4" borderId="1" xfId="0" applyFont="1" applyFill="1" applyBorder="1"/>
    <xf numFmtId="0" fontId="5" fillId="4" borderId="1" xfId="0" applyFont="1" applyFill="1" applyBorder="1"/>
    <xf numFmtId="0" fontId="6" fillId="4" borderId="1" xfId="0" applyFont="1" applyFill="1" applyBorder="1"/>
    <xf numFmtId="0" fontId="0" fillId="4" borderId="1" xfId="0" applyFill="1" applyBorder="1"/>
    <xf numFmtId="0" fontId="0" fillId="4" borderId="1" xfId="0" applyFill="1" applyBorder="1" applyAlignment="1">
      <alignment vertical="center"/>
    </xf>
    <xf numFmtId="165" fontId="0" fillId="4" borderId="1" xfId="0" applyNumberFormat="1" applyFill="1" applyBorder="1"/>
    <xf numFmtId="0" fontId="2" fillId="2" borderId="1" xfId="0" applyFont="1" applyFill="1" applyBorder="1" applyAlignment="1">
      <alignment horizontal="centerContinuous"/>
    </xf>
    <xf numFmtId="0" fontId="0" fillId="4" borderId="1" xfId="0" applyFill="1" applyBorder="1" applyAlignment="1"/>
    <xf numFmtId="0" fontId="2" fillId="3" borderId="1" xfId="0" applyFont="1" applyFill="1" applyBorder="1" applyAlignment="1">
      <alignment horizontal="center"/>
    </xf>
    <xf numFmtId="0" fontId="2" fillId="6" borderId="1" xfId="0" applyFont="1" applyFill="1" applyBorder="1" applyAlignment="1">
      <alignment horizontal="center"/>
    </xf>
    <xf numFmtId="0" fontId="0" fillId="7" borderId="1" xfId="0" applyFill="1" applyBorder="1" applyAlignment="1"/>
    <xf numFmtId="0" fontId="0" fillId="5" borderId="1" xfId="0" applyFill="1" applyBorder="1" applyAlignment="1"/>
    <xf numFmtId="0" fontId="0" fillId="9" borderId="1" xfId="0" applyFill="1" applyBorder="1" applyAlignment="1"/>
    <xf numFmtId="0" fontId="1" fillId="10"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8"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56AE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[janavi_ExcelDashboard.xlsx]Pivote Table!PivotTable4</c:name>
    <c:fmtId val="3"/>
  </c:pivotSource>
  <c:chart>
    <c:autoTitleDeleted val="1"/>
    <c:pivotFmts>
      <c:pivotFmt>
        <c:idx val="0"/>
      </c:pivotFmt>
      <c:pivotFmt>
        <c:idx val="1"/>
        <c:spPr>
          <a:gradFill flip="none" rotWithShape="1">
            <a:gsLst>
              <a:gs pos="100000">
                <a:schemeClr val="accent6">
                  <a:alpha val="0"/>
                </a:schemeClr>
              </a:gs>
              <a:gs pos="50000">
                <a:schemeClr val="accent6"/>
              </a:gs>
            </a:gsLst>
            <a:lin ang="10800000" scaled="1"/>
          </a:gradFill>
          <a:ln>
            <a:noFill/>
          </a:ln>
          <a:effectLst/>
          <a:sp3d/>
        </c:spPr>
        <c:marker>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6">
                  <a:alpha val="0"/>
                </a:schemeClr>
              </a:gs>
              <a:gs pos="50000">
                <a:schemeClr val="accent6"/>
              </a:gs>
            </a:gsLst>
            <a:lin ang="10800000" scaled="1"/>
          </a:gradFill>
          <a:ln>
            <a:noFill/>
          </a:ln>
          <a:effectLst/>
          <a:sp3d/>
        </c:spPr>
        <c:marker>
          <c:symbol val="none"/>
        </c:marker>
      </c:pivotFmt>
      <c:pivotFmt>
        <c:idx val="3"/>
        <c:spPr>
          <a:gradFill flip="none" rotWithShape="1">
            <a:gsLst>
              <a:gs pos="100000">
                <a:schemeClr val="accent6">
                  <a:alpha val="0"/>
                </a:schemeClr>
              </a:gs>
              <a:gs pos="50000">
                <a:schemeClr val="accent6"/>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25437928408226E-2"/>
          <c:y val="0.17726407674606026"/>
          <c:w val="0.89032749428789038"/>
          <c:h val="0.73795745176669358"/>
        </c:manualLayout>
      </c:layout>
      <c:bar3DChart>
        <c:barDir val="bar"/>
        <c:grouping val="clustered"/>
        <c:varyColors val="0"/>
        <c:ser>
          <c:idx val="0"/>
          <c:order val="0"/>
          <c:tx>
            <c:strRef>
              <c:f>'Pivote Table'!$H$3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cat>
            <c:strRef>
              <c:f>'Pivote Table'!$G$4:$G$8</c:f>
              <c:strCache>
                <c:ptCount val="4"/>
                <c:pt idx="0">
                  <c:v>Asia</c:v>
                </c:pt>
                <c:pt idx="1">
                  <c:v>Europe</c:v>
                </c:pt>
                <c:pt idx="2">
                  <c:v>Middle East</c:v>
                </c:pt>
                <c:pt idx="3">
                  <c:v>North America</c:v>
                </c:pt>
              </c:strCache>
            </c:strRef>
          </c:cat>
          <c:val>
            <c:numRef>
              <c:f>'Pivote Table'!$H$4:$H$8</c:f>
              <c:numCache>
                <c:formatCode>General</c:formatCode>
                <c:ptCount val="4"/>
                <c:pt idx="0">
                  <c:v>25072.929999999989</c:v>
                </c:pt>
                <c:pt idx="1">
                  <c:v>22370.459999999995</c:v>
                </c:pt>
                <c:pt idx="2">
                  <c:v>28909.940000000013</c:v>
                </c:pt>
                <c:pt idx="3">
                  <c:v>30125.900000000005</c:v>
                </c:pt>
              </c:numCache>
            </c:numRef>
          </c:val>
          <c:extLst>
            <c:ext xmlns:c16="http://schemas.microsoft.com/office/drawing/2014/chart" uri="{C3380CC4-5D6E-409C-BE32-E72D297353CC}">
              <c16:uniqueId val="{00000000-DAF0-4F86-BA08-725A44C81B6D}"/>
            </c:ext>
          </c:extLst>
        </c:ser>
        <c:dLbls>
          <c:showLegendKey val="0"/>
          <c:showVal val="0"/>
          <c:showCatName val="0"/>
          <c:showSerName val="0"/>
          <c:showPercent val="0"/>
          <c:showBubbleSize val="0"/>
        </c:dLbls>
        <c:gapWidth val="150"/>
        <c:gapDepth val="0"/>
        <c:shape val="box"/>
        <c:axId val="1905635695"/>
        <c:axId val="1905636943"/>
        <c:axId val="0"/>
      </c:bar3DChart>
      <c:catAx>
        <c:axId val="19056356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6943"/>
        <c:crosses val="autoZero"/>
        <c:auto val="1"/>
        <c:lblAlgn val="ctr"/>
        <c:lblOffset val="100"/>
        <c:noMultiLvlLbl val="0"/>
      </c:catAx>
      <c:valAx>
        <c:axId val="19056369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5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[janavi_ExcelDashboard.xlsx]Pivote Table!PivotTable5</c:name>
    <c:fmtId val="6"/>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areaChart>
        <c:grouping val="standard"/>
        <c:varyColors val="0"/>
        <c:ser>
          <c:idx val="0"/>
          <c:order val="0"/>
          <c:tx>
            <c:strRef>
              <c:f>'Pivote Table'!$K$3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'Pivote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Table'!$K$4:$K$16</c:f>
              <c:numCache>
                <c:formatCode>General</c:formatCode>
                <c:ptCount val="12"/>
                <c:pt idx="0">
                  <c:v>9356.1400000000012</c:v>
                </c:pt>
                <c:pt idx="1">
                  <c:v>7975.2400000000025</c:v>
                </c:pt>
                <c:pt idx="2">
                  <c:v>5511.8899999999994</c:v>
                </c:pt>
                <c:pt idx="3">
                  <c:v>11958.769999999999</c:v>
                </c:pt>
                <c:pt idx="4">
                  <c:v>9535.4200000000019</c:v>
                </c:pt>
                <c:pt idx="5">
                  <c:v>5857.0399999999991</c:v>
                </c:pt>
                <c:pt idx="6">
                  <c:v>9900.409999999998</c:v>
                </c:pt>
                <c:pt idx="7">
                  <c:v>7556.5400000000009</c:v>
                </c:pt>
                <c:pt idx="8">
                  <c:v>9171.380000000001</c:v>
                </c:pt>
                <c:pt idx="9">
                  <c:v>10342.939999999999</c:v>
                </c:pt>
                <c:pt idx="10">
                  <c:v>10207.849999999995</c:v>
                </c:pt>
                <c:pt idx="11">
                  <c:v>9105.6099999999988</c:v>
                </c:pt>
              </c:numCache>
            </c:numRef>
          </c:val>
          <c:extLst>
            <c:ext xmlns:c16="http://schemas.microsoft.com/office/drawing/2014/chart" uri="{C3380CC4-5D6E-409C-BE32-E72D297353CC}">
              <c16:uniqueId val="{00000000-BC70-4CE2-95CB-A50157124175}"/>
            </c:ext>
          </c:extLst>
        </c:ser>
        <c:dLbls>
          <c:showLegendKey val="0"/>
          <c:showVal val="0"/>
          <c:showCatName val="0"/>
          <c:showSerName val="0"/>
          <c:showPercent val="0"/>
          <c:showBubbleSize val="0"/>
        </c:dLbls>
        <c:axId val="2062684863"/>
        <c:axId val="2062686527"/>
      </c:areaChart>
      <c:catAx>
        <c:axId val="20626848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2686527"/>
        <c:crosses val="autoZero"/>
        <c:auto val="1"/>
        <c:lblAlgn val="ctr"/>
        <c:lblOffset val="100"/>
        <c:noMultiLvlLbl val="0"/>
      </c:catAx>
      <c:valAx>
        <c:axId val="206268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268486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[janavi_ExcelDashboard.xlsx]Pivote Table!PivotTable6</c:name>
    <c:fmtId val="37"/>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col"/>
        <c:grouping val="clustered"/>
        <c:varyColors val="0"/>
        <c:ser>
          <c:idx val="0"/>
          <c:order val="0"/>
          <c:tx>
            <c:strRef>
              <c:f>'Pivote Table'!$N$3</c:f>
              <c:strCache>
                <c:ptCount val="1"/>
                <c:pt idx="0">
                  <c:v>Total</c:v>
                </c:pt>
              </c:strCache>
            </c:strRef>
          </c:tx>
          <c:spPr>
            <a:solidFill>
              <a:schemeClr val="accent6"/>
            </a:solidFill>
            <a:ln>
              <a:noFill/>
            </a:ln>
            <a:effectLst/>
          </c:spPr>
          <c:invertIfNegative val="0"/>
          <c:cat>
            <c:strRef>
              <c:f>'Pivote Table'!$M$4:$M$10</c:f>
              <c:strCache>
                <c:ptCount val="6"/>
                <c:pt idx="0">
                  <c:v>Beauty</c:v>
                </c:pt>
                <c:pt idx="1">
                  <c:v>Books</c:v>
                </c:pt>
                <c:pt idx="2">
                  <c:v>Electronics</c:v>
                </c:pt>
                <c:pt idx="3">
                  <c:v>Fashion</c:v>
                </c:pt>
                <c:pt idx="4">
                  <c:v>Home &amp; Kitchen</c:v>
                </c:pt>
                <c:pt idx="5">
                  <c:v>Sports</c:v>
                </c:pt>
              </c:strCache>
            </c:strRef>
          </c:cat>
          <c:val>
            <c:numRef>
              <c:f>'Pivote Table'!$N$4:$N$10</c:f>
              <c:numCache>
                <c:formatCode>General</c:formatCode>
                <c:ptCount val="6"/>
                <c:pt idx="0">
                  <c:v>15559.699999999995</c:v>
                </c:pt>
                <c:pt idx="1">
                  <c:v>18910.55</c:v>
                </c:pt>
                <c:pt idx="2">
                  <c:v>19974.690000000002</c:v>
                </c:pt>
                <c:pt idx="3">
                  <c:v>16016.800000000001</c:v>
                </c:pt>
                <c:pt idx="4">
                  <c:v>15966.890000000005</c:v>
                </c:pt>
                <c:pt idx="5">
                  <c:v>20050.599999999991</c:v>
                </c:pt>
              </c:numCache>
            </c:numRef>
          </c:val>
          <c:extLst>
            <c:ext xmlns:c16="http://schemas.microsoft.com/office/drawing/2014/chart" uri="{C3380CC4-5D6E-409C-BE32-E72D297353CC}">
              <c16:uniqueId val="{00000000-6AE6-46C5-9168-88D02A53A721}"/>
            </c:ext>
          </c:extLst>
        </c:ser>
        <c:dLbls>
          <c:showLegendKey val="0"/>
          <c:showVal val="0"/>
          <c:showCatName val="0"/>
          <c:showSerName val="0"/>
          <c:showPercent val="0"/>
          <c:showBubbleSize val="0"/>
        </c:dLbls>
        <c:gapWidth val="219"/>
        <c:overlap val="-27"/>
        <c:axId val="898078159"/>
        <c:axId val="898066927"/>
      </c:barChart>
      <c:catAx>
        <c:axId val="89807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66927"/>
        <c:crosses val="autoZero"/>
        <c:auto val="1"/>
        <c:lblAlgn val="ctr"/>
        <c:lblOffset val="100"/>
        <c:noMultiLvlLbl val="0"/>
      </c:catAx>
      <c:valAx>
        <c:axId val="89806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78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[janavi_ExcelDashboard.xlsx]Pivote Table!PivotTable4</c:name>
    <c:fmtId val="6"/>
  </c:pivotSource>
  <c:chart>
    <c:autoTitleDeleted val="1"/>
    <c:pivotFmts>
      <c:pivotFmt>
        <c:idx val="0"/>
      </c:pivotFmt>
      <c:pivotFmt>
        <c:idx val="1"/>
        <c:spPr>
          <a:gradFill flip="none" rotWithShape="1">
            <a:gsLst>
              <a:gs pos="100000">
                <a:schemeClr val="accent6">
                  <a:alpha val="0"/>
                </a:schemeClr>
              </a:gs>
              <a:gs pos="50000">
                <a:schemeClr val="accent6"/>
              </a:gs>
            </a:gsLst>
            <a:lin ang="10800000" scaled="1"/>
          </a:gradFill>
          <a:ln>
            <a:noFill/>
          </a:ln>
          <a:effectLst/>
          <a:sp3d/>
        </c:spPr>
        <c:marker>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6">
                  <a:alpha val="0"/>
                </a:schemeClr>
              </a:gs>
              <a:gs pos="50000">
                <a:schemeClr val="accent6"/>
              </a:gs>
            </a:gsLst>
            <a:lin ang="10800000" scaled="1"/>
          </a:gradFill>
          <a:ln>
            <a:noFill/>
          </a:ln>
          <a:effectLst/>
          <a:sp3d/>
        </c:spPr>
        <c:marker>
          <c:symbol val="none"/>
        </c:marker>
      </c:pivotFmt>
      <c:pivotFmt>
        <c:idx val="3"/>
        <c:spPr>
          <a:gradFill flip="none" rotWithShape="1">
            <a:gsLst>
              <a:gs pos="100000">
                <a:schemeClr val="accent6">
                  <a:alpha val="0"/>
                </a:schemeClr>
              </a:gs>
              <a:gs pos="50000">
                <a:schemeClr val="accent6"/>
              </a:gs>
            </a:gsLst>
            <a:lin ang="10800000" scaled="1"/>
          </a:gradFill>
          <a:ln>
            <a:noFill/>
          </a:ln>
          <a:effectLst/>
          <a:sp3d/>
        </c:spPr>
        <c:marker>
          <c:symbol val="none"/>
        </c:marker>
      </c:pivotFmt>
      <c:pivotFmt>
        <c:idx val="4"/>
        <c:spPr>
          <a:gradFill flip="none" rotWithShape="1">
            <a:gsLst>
              <a:gs pos="100000">
                <a:schemeClr val="accent6">
                  <a:alpha val="0"/>
                </a:schemeClr>
              </a:gs>
              <a:gs pos="50000">
                <a:schemeClr val="accent6"/>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25437928408226E-2"/>
          <c:y val="0.17726407674606026"/>
          <c:w val="0.89032749428789038"/>
          <c:h val="0.73795745176669358"/>
        </c:manualLayout>
      </c:layout>
      <c:bar3DChart>
        <c:barDir val="bar"/>
        <c:grouping val="clustered"/>
        <c:varyColors val="0"/>
        <c:ser>
          <c:idx val="0"/>
          <c:order val="0"/>
          <c:tx>
            <c:strRef>
              <c:f>'Pivote Table'!$H$3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cat>
            <c:strRef>
              <c:f>'Pivote Table'!$G$4:$G$8</c:f>
              <c:strCache>
                <c:ptCount val="4"/>
                <c:pt idx="0">
                  <c:v>Asia</c:v>
                </c:pt>
                <c:pt idx="1">
                  <c:v>Europe</c:v>
                </c:pt>
                <c:pt idx="2">
                  <c:v>Middle East</c:v>
                </c:pt>
                <c:pt idx="3">
                  <c:v>North America</c:v>
                </c:pt>
              </c:strCache>
            </c:strRef>
          </c:cat>
          <c:val>
            <c:numRef>
              <c:f>'Pivote Table'!$H$4:$H$8</c:f>
              <c:numCache>
                <c:formatCode>General</c:formatCode>
                <c:ptCount val="4"/>
                <c:pt idx="0">
                  <c:v>25072.929999999989</c:v>
                </c:pt>
                <c:pt idx="1">
                  <c:v>22370.459999999995</c:v>
                </c:pt>
                <c:pt idx="2">
                  <c:v>28909.940000000013</c:v>
                </c:pt>
                <c:pt idx="3">
                  <c:v>30125.900000000005</c:v>
                </c:pt>
              </c:numCache>
            </c:numRef>
          </c:val>
          <c:extLst>
            <c:ext xmlns:c16="http://schemas.microsoft.com/office/drawing/2014/chart" uri="{C3380CC4-5D6E-409C-BE32-E72D297353CC}">
              <c16:uniqueId val="{00000000-DF97-4F09-9EC0-A9831264FB72}"/>
            </c:ext>
          </c:extLst>
        </c:ser>
        <c:dLbls>
          <c:showLegendKey val="0"/>
          <c:showVal val="0"/>
          <c:showCatName val="0"/>
          <c:showSerName val="0"/>
          <c:showPercent val="0"/>
          <c:showBubbleSize val="0"/>
        </c:dLbls>
        <c:gapWidth val="150"/>
        <c:gapDepth val="0"/>
        <c:shape val="box"/>
        <c:axId val="1905635695"/>
        <c:axId val="1905636943"/>
        <c:axId val="0"/>
      </c:bar3DChart>
      <c:catAx>
        <c:axId val="19056356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6943"/>
        <c:crosses val="autoZero"/>
        <c:auto val="1"/>
        <c:lblAlgn val="ctr"/>
        <c:lblOffset val="100"/>
        <c:noMultiLvlLbl val="0"/>
      </c:catAx>
      <c:valAx>
        <c:axId val="19056369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3569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[janavi_ExcelDashboard.xlsx]Pivote Table!PivotTable5</c:name>
    <c:fmtId val="8"/>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areaChart>
        <c:grouping val="standard"/>
        <c:varyColors val="0"/>
        <c:ser>
          <c:idx val="0"/>
          <c:order val="0"/>
          <c:tx>
            <c:strRef>
              <c:f>'Pivote Table'!$K$3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'Pivote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Table'!$K$4:$K$16</c:f>
              <c:numCache>
                <c:formatCode>General</c:formatCode>
                <c:ptCount val="12"/>
                <c:pt idx="0">
                  <c:v>9356.1400000000012</c:v>
                </c:pt>
                <c:pt idx="1">
                  <c:v>7975.2400000000025</c:v>
                </c:pt>
                <c:pt idx="2">
                  <c:v>5511.8899999999994</c:v>
                </c:pt>
                <c:pt idx="3">
                  <c:v>11958.769999999999</c:v>
                </c:pt>
                <c:pt idx="4">
                  <c:v>9535.4200000000019</c:v>
                </c:pt>
                <c:pt idx="5">
                  <c:v>5857.0399999999991</c:v>
                </c:pt>
                <c:pt idx="6">
                  <c:v>9900.409999999998</c:v>
                </c:pt>
                <c:pt idx="7">
                  <c:v>7556.5400000000009</c:v>
                </c:pt>
                <c:pt idx="8">
                  <c:v>9171.380000000001</c:v>
                </c:pt>
                <c:pt idx="9">
                  <c:v>10342.939999999999</c:v>
                </c:pt>
                <c:pt idx="10">
                  <c:v>10207.849999999995</c:v>
                </c:pt>
                <c:pt idx="11">
                  <c:v>9105.6099999999988</c:v>
                </c:pt>
              </c:numCache>
            </c:numRef>
          </c:val>
          <c:extLst>
            <c:ext xmlns:c16="http://schemas.microsoft.com/office/drawing/2014/chart" uri="{C3380CC4-5D6E-409C-BE32-E72D297353CC}">
              <c16:uniqueId val="{00000000-F239-446A-B918-1742F2282E40}"/>
            </c:ext>
          </c:extLst>
        </c:ser>
        <c:dLbls>
          <c:showLegendKey val="0"/>
          <c:showVal val="0"/>
          <c:showCatName val="0"/>
          <c:showSerName val="0"/>
          <c:showPercent val="0"/>
          <c:showBubbleSize val="0"/>
        </c:dLbls>
        <c:axId val="2062684863"/>
        <c:axId val="2062686527"/>
      </c:areaChart>
      <c:catAx>
        <c:axId val="20626848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2686527"/>
        <c:crosses val="autoZero"/>
        <c:auto val="1"/>
        <c:lblAlgn val="ctr"/>
        <c:lblOffset val="100"/>
        <c:noMultiLvlLbl val="0"/>
      </c:catAx>
      <c:valAx>
        <c:axId val="206268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2684863"/>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[janavi_ExcelDashboard.xlsx]Pivote Table!PivotTable6</c:name>
    <c:fmtId val="39"/>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'Pivote Table'!$N$3</c:f>
              <c:strCache>
                <c:ptCount val="1"/>
                <c:pt idx="0">
                  <c:v>Total</c:v>
                </c:pt>
              </c:strCache>
            </c:strRef>
          </c:tx>
          <c:spPr>
            <a:solidFill>
              <a:schemeClr val="accent6"/>
            </a:solidFill>
            <a:ln>
              <a:noFill/>
            </a:ln>
            <a:effectLst/>
          </c:spPr>
          <c:invertIfNegative val="0"/>
          <c:cat>
            <c:strRef>
              <c:f>'Pivote Table'!$M$4:$M$10</c:f>
              <c:strCache>
                <c:ptCount val="6"/>
                <c:pt idx="0">
                  <c:v>Beauty</c:v>
                </c:pt>
                <c:pt idx="1">
                  <c:v>Books</c:v>
                </c:pt>
                <c:pt idx="2">
                  <c:v>Electronics</c:v>
                </c:pt>
                <c:pt idx="3">
                  <c:v>Fashion</c:v>
                </c:pt>
                <c:pt idx="4">
                  <c:v>Home &amp; Kitchen</c:v>
                </c:pt>
                <c:pt idx="5">
                  <c:v>Sports</c:v>
                </c:pt>
              </c:strCache>
            </c:strRef>
          </c:cat>
          <c:val>
            <c:numRef>
              <c:f>'Pivote Table'!$N$4:$N$10</c:f>
              <c:numCache>
                <c:formatCode>General</c:formatCode>
                <c:ptCount val="6"/>
                <c:pt idx="0">
                  <c:v>15559.699999999995</c:v>
                </c:pt>
                <c:pt idx="1">
                  <c:v>18910.55</c:v>
                </c:pt>
                <c:pt idx="2">
                  <c:v>19974.690000000002</c:v>
                </c:pt>
                <c:pt idx="3">
                  <c:v>16016.800000000001</c:v>
                </c:pt>
                <c:pt idx="4">
                  <c:v>15966.890000000005</c:v>
                </c:pt>
                <c:pt idx="5">
                  <c:v>20050.599999999991</c:v>
                </c:pt>
              </c:numCache>
            </c:numRef>
          </c:val>
          <c:extLst>
            <c:ext xmlns:c16="http://schemas.microsoft.com/office/drawing/2014/chart" uri="{C3380CC4-5D6E-409C-BE32-E72D297353CC}">
              <c16:uniqueId val="{00000000-C17C-40B2-B837-029F95A4335C}"/>
            </c:ext>
          </c:extLst>
        </c:ser>
        <c:dLbls>
          <c:showLegendKey val="0"/>
          <c:showVal val="0"/>
          <c:showCatName val="0"/>
          <c:showSerName val="0"/>
          <c:showPercent val="0"/>
          <c:showBubbleSize val="0"/>
        </c:dLbls>
        <c:gapWidth val="219"/>
        <c:overlap val="-27"/>
        <c:axId val="898078159"/>
        <c:axId val="898066927"/>
      </c:barChart>
      <c:catAx>
        <c:axId val="89807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66927"/>
        <c:crosses val="autoZero"/>
        <c:auto val="1"/>
        <c:lblAlgn val="ctr"/>
        <c:lblOffset val="100"/>
        <c:noMultiLvlLbl val="0"/>
      </c:catAx>
      <c:valAx>
        <c:axId val="89806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781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19050</xdr:rowOff>
    </xdr:from>
    <xdr:to>
      <xdr:col>7</xdr:col>
      <xdr:colOff>1060450</xdr:colOff>
      <xdr:row>22</xdr:row>
      <xdr:rowOff>25400</xdr:rowOff>
    </xdr:to>
    <mc:AlternateContent xmlns:mc="http://schemas.openxmlformats.org/markup-compatibility/2006" xmlns:tsle="http://schemas.microsoft.com/office/drawing/2012/timeslicer">
      <mc:Choice Requires="tsle">
        <xdr:graphicFrame macro="">
          <xdr:nvGraphicFramePr>
            <xdr:cNvPr id="2"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3149600"/>
              <a:ext cx="6565900" cy="9271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xdr:col>
      <xdr:colOff>133350</xdr:colOff>
      <xdr:row>9</xdr:row>
      <xdr:rowOff>120650</xdr:rowOff>
    </xdr:from>
    <xdr:to>
      <xdr:col>3</xdr:col>
      <xdr:colOff>444500</xdr:colOff>
      <xdr:row>14</xdr:row>
      <xdr:rowOff>127000</xdr:rowOff>
    </xdr:to>
    <mc:AlternateContent xmlns:mc="http://schemas.openxmlformats.org/markup-compatibility/2006" xmlns:a14="http://schemas.microsoft.com/office/drawing/2010/main">
      <mc:Choice Requires="a14">
        <xdr:graphicFrame macro="">
          <xdr:nvGraphicFramePr>
            <xdr:cNvPr id="3" name="customer_region"/>
            <xdr:cNvGraphicFramePr/>
          </xdr:nvGraphicFramePr>
          <xdr:xfrm>
            <a:off x="0" y="0"/>
            <a:ext cx="0" cy="0"/>
          </xdr:xfrm>
          <a:graphic>
            <a:graphicData uri="http://schemas.microsoft.com/office/drawing/2010/slicer">
              <sle:slicer xmlns:sle="http://schemas.microsoft.com/office/drawing/2010/slicer" name="customer_region"/>
            </a:graphicData>
          </a:graphic>
        </xdr:graphicFrame>
      </mc:Choice>
      <mc:Fallback xmlns="">
        <xdr:sp macro="" textlink="">
          <xdr:nvSpPr>
            <xdr:cNvPr id="0" name=""/>
            <xdr:cNvSpPr>
              <a:spLocks noTextEdit="1"/>
            </xdr:cNvSpPr>
          </xdr:nvSpPr>
          <xdr:spPr>
            <a:xfrm>
              <a:off x="996950" y="1778000"/>
              <a:ext cx="18288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6350</xdr:colOff>
      <xdr:row>11</xdr:row>
      <xdr:rowOff>12701</xdr:rowOff>
    </xdr:from>
    <xdr:to>
      <xdr:col>8</xdr:col>
      <xdr:colOff>330200</xdr:colOff>
      <xdr:row>15</xdr:row>
      <xdr:rowOff>25401</xdr:rowOff>
    </xdr:to>
    <mc:AlternateContent xmlns:mc="http://schemas.openxmlformats.org/markup-compatibility/2006" xmlns:a14="http://schemas.microsoft.com/office/drawing/2010/main">
      <mc:Choice Requires="a14">
        <xdr:graphicFrame macro="">
          <xdr:nvGraphicFramePr>
            <xdr:cNvPr id="4"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997200" y="2038351"/>
              <a:ext cx="4356100" cy="7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12700</xdr:colOff>
      <xdr:row>17</xdr:row>
      <xdr:rowOff>25400</xdr:rowOff>
    </xdr:from>
    <xdr:to>
      <xdr:col>11</xdr:col>
      <xdr:colOff>508000</xdr:colOff>
      <xdr:row>24</xdr:row>
      <xdr:rowOff>104774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xdr:colOff>
      <xdr:row>17</xdr:row>
      <xdr:rowOff>31750</xdr:rowOff>
    </xdr:from>
    <xdr:to>
      <xdr:col>15</xdr:col>
      <xdr:colOff>533400</xdr:colOff>
      <xdr:row>24</xdr:row>
      <xdr:rowOff>180974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704851</xdr:colOff>
      <xdr:row>17</xdr:row>
      <xdr:rowOff>12699</xdr:rowOff>
    </xdr:from>
    <xdr:to>
      <xdr:col>20</xdr:col>
      <xdr:colOff>133351</xdr:colOff>
      <xdr:row>25</xdr:row>
      <xdr:rowOff>3174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69850</xdr:rowOff>
    </xdr:from>
    <xdr:to>
      <xdr:col>19</xdr:col>
      <xdr:colOff>323850</xdr:colOff>
      <xdr:row>28</xdr:row>
      <xdr:rowOff>0</xdr:rowOff>
    </xdr:to>
    <xdr:sp macro="" textlink="">
      <xdr:nvSpPr>
        <xdr:cNvPr id="2" name="Rounded Rectangle 1"/>
        <xdr:cNvSpPr/>
      </xdr:nvSpPr>
      <xdr:spPr>
        <a:xfrm>
          <a:off x="63500" y="69850"/>
          <a:ext cx="11899526" cy="5159562"/>
        </a:xfrm>
        <a:prstGeom prst="roundRect">
          <a:avLst>
            <a:gd name="adj" fmla="val 376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IN" sz="1100" b="1"/>
        </a:p>
      </xdr:txBody>
    </xdr:sp>
    <xdr:clientData/>
  </xdr:twoCellAnchor>
  <xdr:twoCellAnchor>
    <xdr:from>
      <xdr:col>3</xdr:col>
      <xdr:colOff>200958</xdr:colOff>
      <xdr:row>0</xdr:row>
      <xdr:rowOff>120650</xdr:rowOff>
    </xdr:from>
    <xdr:to>
      <xdr:col>19</xdr:col>
      <xdr:colOff>258108</xdr:colOff>
      <xdr:row>27</xdr:row>
      <xdr:rowOff>112059</xdr:rowOff>
    </xdr:to>
    <xdr:sp macro="" textlink="">
      <xdr:nvSpPr>
        <xdr:cNvPr id="3" name="Rounded Rectangle 2"/>
        <xdr:cNvSpPr/>
      </xdr:nvSpPr>
      <xdr:spPr>
        <a:xfrm>
          <a:off x="2038723" y="120650"/>
          <a:ext cx="9858561" cy="5034056"/>
        </a:xfrm>
        <a:prstGeom prst="roundRect">
          <a:avLst>
            <a:gd name="adj" fmla="val 2728"/>
          </a:avLst>
        </a:prstGeom>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path path="circle">
            <a:fillToRect l="50000" t="50000" r="50000" b="50000"/>
          </a:path>
          <a:tileRect/>
        </a:gra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304800</xdr:colOff>
      <xdr:row>0</xdr:row>
      <xdr:rowOff>158750</xdr:rowOff>
    </xdr:from>
    <xdr:to>
      <xdr:col>14</xdr:col>
      <xdr:colOff>165100</xdr:colOff>
      <xdr:row>5</xdr:row>
      <xdr:rowOff>165100</xdr:rowOff>
    </xdr:to>
    <mc:AlternateContent xmlns:mc="http://schemas.openxmlformats.org/markup-compatibility/2006" xmlns:tsle="http://schemas.microsoft.com/office/drawing/2012/timeslicer">
      <mc:Choice Requires="tsle">
        <xdr:graphicFrame macro="">
          <xdr:nvGraphicFramePr>
            <xdr:cNvPr id="7" name="order_date 1"/>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142565" y="158750"/>
              <a:ext cx="6598770" cy="940174"/>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14</xdr:col>
      <xdr:colOff>215900</xdr:colOff>
      <xdr:row>0</xdr:row>
      <xdr:rowOff>158750</xdr:rowOff>
    </xdr:from>
    <xdr:to>
      <xdr:col>19</xdr:col>
      <xdr:colOff>146050</xdr:colOff>
      <xdr:row>5</xdr:row>
      <xdr:rowOff>171450</xdr:rowOff>
    </xdr:to>
    <mc:AlternateContent xmlns:mc="http://schemas.openxmlformats.org/markup-compatibility/2006" xmlns:a14="http://schemas.microsoft.com/office/drawing/2010/main">
      <mc:Choice Requires="a14">
        <xdr:graphicFrame macro="">
          <xdr:nvGraphicFramePr>
            <xdr:cNvPr id="8" name="customer_region 1"/>
            <xdr:cNvGraphicFramePr/>
          </xdr:nvGraphicFramePr>
          <xdr:xfrm>
            <a:off x="0" y="0"/>
            <a:ext cx="0" cy="0"/>
          </xdr:xfrm>
          <a:graphic>
            <a:graphicData uri="http://schemas.microsoft.com/office/drawing/2010/slicer">
              <sle:slicer xmlns:sle="http://schemas.microsoft.com/office/drawing/2010/slicer" name="customer_region 1"/>
            </a:graphicData>
          </a:graphic>
        </xdr:graphicFrame>
      </mc:Choice>
      <mc:Fallback xmlns="">
        <xdr:sp macro="" textlink="">
          <xdr:nvSpPr>
            <xdr:cNvPr id="0" name=""/>
            <xdr:cNvSpPr>
              <a:spLocks noTextEdit="1"/>
            </xdr:cNvSpPr>
          </xdr:nvSpPr>
          <xdr:spPr>
            <a:xfrm>
              <a:off x="8792135" y="158750"/>
              <a:ext cx="2993091" cy="946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292100</xdr:colOff>
      <xdr:row>6</xdr:row>
      <xdr:rowOff>6350</xdr:rowOff>
    </xdr:from>
    <xdr:to>
      <xdr:col>2</xdr:col>
      <xdr:colOff>501650</xdr:colOff>
      <xdr:row>8</xdr:row>
      <xdr:rowOff>31750</xdr:rowOff>
    </xdr:to>
    <xdr:sp macro="" textlink="">
      <xdr:nvSpPr>
        <xdr:cNvPr id="6" name="Rounded Rectangle 5"/>
        <xdr:cNvSpPr/>
      </xdr:nvSpPr>
      <xdr:spPr>
        <a:xfrm>
          <a:off x="292100" y="1111250"/>
          <a:ext cx="1428750" cy="393700"/>
        </a:xfrm>
        <a:prstGeom prst="roundRect">
          <a:avLst>
            <a:gd name="adj" fmla="val 4892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56AE52"/>
              </a:solidFill>
            </a:rPr>
            <a:t>DashBoard</a:t>
          </a:r>
          <a:endParaRPr lang="en-IN" sz="1100" b="1">
            <a:solidFill>
              <a:srgbClr val="56AE52"/>
            </a:solidFill>
          </a:endParaRPr>
        </a:p>
      </xdr:txBody>
    </xdr:sp>
    <xdr:clientData/>
  </xdr:twoCellAnchor>
  <xdr:twoCellAnchor>
    <xdr:from>
      <xdr:col>0</xdr:col>
      <xdr:colOff>298450</xdr:colOff>
      <xdr:row>9</xdr:row>
      <xdr:rowOff>101600</xdr:rowOff>
    </xdr:from>
    <xdr:to>
      <xdr:col>2</xdr:col>
      <xdr:colOff>508000</xdr:colOff>
      <xdr:row>11</xdr:row>
      <xdr:rowOff>127000</xdr:rowOff>
    </xdr:to>
    <xdr:sp macro="" textlink="">
      <xdr:nvSpPr>
        <xdr:cNvPr id="15" name="Rounded Rectangle 14"/>
        <xdr:cNvSpPr/>
      </xdr:nvSpPr>
      <xdr:spPr>
        <a:xfrm>
          <a:off x="298450" y="1758950"/>
          <a:ext cx="1428750" cy="393700"/>
        </a:xfrm>
        <a:prstGeom prst="roundRect">
          <a:avLst>
            <a:gd name="adj" fmla="val 48925"/>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Reports</a:t>
          </a:r>
          <a:endParaRPr lang="en-IN" sz="1100" b="1">
            <a:solidFill>
              <a:schemeClr val="bg1"/>
            </a:solidFill>
          </a:endParaRPr>
        </a:p>
      </xdr:txBody>
    </xdr:sp>
    <xdr:clientData/>
  </xdr:twoCellAnchor>
  <xdr:twoCellAnchor>
    <xdr:from>
      <xdr:col>0</xdr:col>
      <xdr:colOff>292100</xdr:colOff>
      <xdr:row>13</xdr:row>
      <xdr:rowOff>19050</xdr:rowOff>
    </xdr:from>
    <xdr:to>
      <xdr:col>2</xdr:col>
      <xdr:colOff>501650</xdr:colOff>
      <xdr:row>15</xdr:row>
      <xdr:rowOff>44450</xdr:rowOff>
    </xdr:to>
    <xdr:sp macro="" textlink="">
      <xdr:nvSpPr>
        <xdr:cNvPr id="16" name="Rounded Rectangle 15"/>
        <xdr:cNvSpPr/>
      </xdr:nvSpPr>
      <xdr:spPr>
        <a:xfrm>
          <a:off x="292100" y="2413000"/>
          <a:ext cx="1428750" cy="393700"/>
        </a:xfrm>
        <a:prstGeom prst="roundRect">
          <a:avLst>
            <a:gd name="adj" fmla="val 48925"/>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About Us</a:t>
          </a:r>
        </a:p>
      </xdr:txBody>
    </xdr:sp>
    <xdr:clientData/>
  </xdr:twoCellAnchor>
  <xdr:twoCellAnchor editAs="oneCell">
    <xdr:from>
      <xdr:col>3</xdr:col>
      <xdr:colOff>311150</xdr:colOff>
      <xdr:row>6</xdr:row>
      <xdr:rowOff>31750</xdr:rowOff>
    </xdr:from>
    <xdr:to>
      <xdr:col>19</xdr:col>
      <xdr:colOff>158750</xdr:colOff>
      <xdr:row>9</xdr:row>
      <xdr:rowOff>95250</xdr:rowOff>
    </xdr:to>
    <mc:AlternateContent xmlns:mc="http://schemas.openxmlformats.org/markup-compatibility/2006" xmlns:a14="http://schemas.microsoft.com/office/drawing/2010/main">
      <mc:Choice Requires="a14">
        <xdr:graphicFrame macro="">
          <xdr:nvGraphicFramePr>
            <xdr:cNvPr id="17"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148915" y="1152338"/>
              <a:ext cx="9649011" cy="623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366057</xdr:colOff>
      <xdr:row>12</xdr:row>
      <xdr:rowOff>59767</xdr:rowOff>
    </xdr:from>
    <xdr:to>
      <xdr:col>7</xdr:col>
      <xdr:colOff>119527</xdr:colOff>
      <xdr:row>15</xdr:row>
      <xdr:rowOff>29884</xdr:rowOff>
    </xdr:to>
    <xdr:sp macro="" textlink="">
      <xdr:nvSpPr>
        <xdr:cNvPr id="9" name="Rounded Rectangle 8"/>
        <xdr:cNvSpPr/>
      </xdr:nvSpPr>
      <xdr:spPr>
        <a:xfrm>
          <a:off x="2203822" y="2300943"/>
          <a:ext cx="2203823" cy="530412"/>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537875</xdr:colOff>
      <xdr:row>12</xdr:row>
      <xdr:rowOff>44828</xdr:rowOff>
    </xdr:from>
    <xdr:to>
      <xdr:col>7</xdr:col>
      <xdr:colOff>74705</xdr:colOff>
      <xdr:row>15</xdr:row>
      <xdr:rowOff>37355</xdr:rowOff>
    </xdr:to>
    <xdr:sp macro="" textlink="">
      <xdr:nvSpPr>
        <xdr:cNvPr id="19" name="Rounded Rectangle 18"/>
        <xdr:cNvSpPr/>
      </xdr:nvSpPr>
      <xdr:spPr>
        <a:xfrm>
          <a:off x="2375640" y="2286004"/>
          <a:ext cx="1987183" cy="55282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418350</xdr:colOff>
      <xdr:row>12</xdr:row>
      <xdr:rowOff>59767</xdr:rowOff>
    </xdr:from>
    <xdr:to>
      <xdr:col>11</xdr:col>
      <xdr:colOff>179292</xdr:colOff>
      <xdr:row>15</xdr:row>
      <xdr:rowOff>29884</xdr:rowOff>
    </xdr:to>
    <xdr:sp macro="" textlink="">
      <xdr:nvSpPr>
        <xdr:cNvPr id="20" name="Rounded Rectangle 19"/>
        <xdr:cNvSpPr/>
      </xdr:nvSpPr>
      <xdr:spPr>
        <a:xfrm>
          <a:off x="4706468" y="2300943"/>
          <a:ext cx="2211295" cy="530412"/>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582697</xdr:colOff>
      <xdr:row>12</xdr:row>
      <xdr:rowOff>52298</xdr:rowOff>
    </xdr:from>
    <xdr:to>
      <xdr:col>11</xdr:col>
      <xdr:colOff>134470</xdr:colOff>
      <xdr:row>15</xdr:row>
      <xdr:rowOff>37354</xdr:rowOff>
    </xdr:to>
    <xdr:sp macro="" textlink="">
      <xdr:nvSpPr>
        <xdr:cNvPr id="21" name="Rounded Rectangle 20"/>
        <xdr:cNvSpPr/>
      </xdr:nvSpPr>
      <xdr:spPr>
        <a:xfrm>
          <a:off x="4870815" y="2293474"/>
          <a:ext cx="2002126" cy="54535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351110</xdr:colOff>
      <xdr:row>15</xdr:row>
      <xdr:rowOff>171823</xdr:rowOff>
    </xdr:from>
    <xdr:to>
      <xdr:col>11</xdr:col>
      <xdr:colOff>216646</xdr:colOff>
      <xdr:row>27</xdr:row>
      <xdr:rowOff>37353</xdr:rowOff>
    </xdr:to>
    <xdr:sp macro="" textlink="">
      <xdr:nvSpPr>
        <xdr:cNvPr id="22" name="Rounded Rectangle 21"/>
        <xdr:cNvSpPr/>
      </xdr:nvSpPr>
      <xdr:spPr>
        <a:xfrm>
          <a:off x="2188875" y="2973294"/>
          <a:ext cx="4766242" cy="2106706"/>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298817</xdr:colOff>
      <xdr:row>9</xdr:row>
      <xdr:rowOff>186764</xdr:rowOff>
    </xdr:from>
    <xdr:to>
      <xdr:col>19</xdr:col>
      <xdr:colOff>171824</xdr:colOff>
      <xdr:row>18</xdr:row>
      <xdr:rowOff>7468</xdr:rowOff>
    </xdr:to>
    <xdr:sp macro="" textlink="">
      <xdr:nvSpPr>
        <xdr:cNvPr id="23" name="Rounded Rectangle 22"/>
        <xdr:cNvSpPr/>
      </xdr:nvSpPr>
      <xdr:spPr>
        <a:xfrm>
          <a:off x="7037288" y="1867646"/>
          <a:ext cx="4773712" cy="1501587"/>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298823</xdr:colOff>
      <xdr:row>18</xdr:row>
      <xdr:rowOff>82177</xdr:rowOff>
    </xdr:from>
    <xdr:to>
      <xdr:col>19</xdr:col>
      <xdr:colOff>171823</xdr:colOff>
      <xdr:row>27</xdr:row>
      <xdr:rowOff>37353</xdr:rowOff>
    </xdr:to>
    <xdr:sp macro="" textlink="">
      <xdr:nvSpPr>
        <xdr:cNvPr id="24" name="Rounded Rectangle 23"/>
        <xdr:cNvSpPr/>
      </xdr:nvSpPr>
      <xdr:spPr>
        <a:xfrm>
          <a:off x="7037294" y="3443942"/>
          <a:ext cx="4773705" cy="1636058"/>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328705</xdr:colOff>
      <xdr:row>9</xdr:row>
      <xdr:rowOff>141940</xdr:rowOff>
    </xdr:from>
    <xdr:to>
      <xdr:col>4</xdr:col>
      <xdr:colOff>104588</xdr:colOff>
      <xdr:row>11</xdr:row>
      <xdr:rowOff>156881</xdr:rowOff>
    </xdr:to>
    <xdr:pic>
      <xdr:nvPicPr>
        <xdr:cNvPr id="27" name="Picture 26"/>
        <xdr:cNvPicPr>
          <a:picLocks noChangeAspect="1"/>
        </xdr:cNvPicPr>
      </xdr:nvPicPr>
      <xdr:blipFill>
        <a:blip xmlns:r="http://schemas.openxmlformats.org/officeDocument/2006/relationships" r:embed="rId1"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2166470" y="1822822"/>
          <a:ext cx="388471" cy="388471"/>
        </a:xfrm>
        <a:prstGeom prst="rect">
          <a:avLst/>
        </a:prstGeom>
      </xdr:spPr>
    </xdr:pic>
    <xdr:clientData/>
  </xdr:twoCellAnchor>
  <xdr:twoCellAnchor>
    <xdr:from>
      <xdr:col>3</xdr:col>
      <xdr:colOff>545353</xdr:colOff>
      <xdr:row>9</xdr:row>
      <xdr:rowOff>82178</xdr:rowOff>
    </xdr:from>
    <xdr:to>
      <xdr:col>6</xdr:col>
      <xdr:colOff>89647</xdr:colOff>
      <xdr:row>12</xdr:row>
      <xdr:rowOff>44824</xdr:rowOff>
    </xdr:to>
    <xdr:sp macro="" textlink="">
      <xdr:nvSpPr>
        <xdr:cNvPr id="28" name="Rectangle 27"/>
        <xdr:cNvSpPr/>
      </xdr:nvSpPr>
      <xdr:spPr>
        <a:xfrm>
          <a:off x="2383118" y="1763060"/>
          <a:ext cx="1382058" cy="5229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Analytics</a:t>
          </a:r>
          <a:endParaRPr lang="en-IN" sz="1200" b="1">
            <a:solidFill>
              <a:schemeClr val="tx1"/>
            </a:solidFill>
          </a:endParaRPr>
        </a:p>
      </xdr:txBody>
    </xdr:sp>
    <xdr:clientData/>
  </xdr:twoCellAnchor>
  <xdr:twoCellAnchor editAs="oneCell">
    <xdr:from>
      <xdr:col>3</xdr:col>
      <xdr:colOff>605116</xdr:colOff>
      <xdr:row>12</xdr:row>
      <xdr:rowOff>119529</xdr:rowOff>
    </xdr:from>
    <xdr:to>
      <xdr:col>4</xdr:col>
      <xdr:colOff>386259</xdr:colOff>
      <xdr:row>14</xdr:row>
      <xdr:rowOff>139730</xdr:rowOff>
    </xdr:to>
    <xdr:pic>
      <xdr:nvPicPr>
        <xdr:cNvPr id="29" name="Picture 28"/>
        <xdr:cNvPicPr>
          <a:picLocks noChangeAspect="1"/>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442881" y="2360705"/>
          <a:ext cx="393731" cy="393731"/>
        </a:xfrm>
        <a:prstGeom prst="rect">
          <a:avLst/>
        </a:prstGeom>
      </xdr:spPr>
    </xdr:pic>
    <xdr:clientData/>
  </xdr:twoCellAnchor>
  <xdr:twoCellAnchor editAs="oneCell">
    <xdr:from>
      <xdr:col>8</xdr:col>
      <xdr:colOff>52293</xdr:colOff>
      <xdr:row>12</xdr:row>
      <xdr:rowOff>52294</xdr:rowOff>
    </xdr:from>
    <xdr:to>
      <xdr:col>9</xdr:col>
      <xdr:colOff>12835</xdr:colOff>
      <xdr:row>15</xdr:row>
      <xdr:rowOff>65129</xdr:rowOff>
    </xdr:to>
    <xdr:pic>
      <xdr:nvPicPr>
        <xdr:cNvPr id="30" name="Picture 29"/>
        <xdr:cNvPicPr>
          <a:picLocks noChangeAspect="1"/>
        </xdr:cNvPicPr>
      </xdr:nvPicPr>
      <xdr:blipFill>
        <a:blip xmlns:r="http://schemas.openxmlformats.org/officeDocument/2006/relationships" r:embed="rId3"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4952999" y="2293470"/>
          <a:ext cx="573130" cy="573130"/>
        </a:xfrm>
        <a:prstGeom prst="rect">
          <a:avLst/>
        </a:prstGeom>
      </xdr:spPr>
    </xdr:pic>
    <xdr:clientData/>
  </xdr:twoCellAnchor>
  <xdr:twoCellAnchor>
    <xdr:from>
      <xdr:col>4</xdr:col>
      <xdr:colOff>410882</xdr:colOff>
      <xdr:row>12</xdr:row>
      <xdr:rowOff>89649</xdr:rowOff>
    </xdr:from>
    <xdr:to>
      <xdr:col>6</xdr:col>
      <xdr:colOff>597647</xdr:colOff>
      <xdr:row>13</xdr:row>
      <xdr:rowOff>134472</xdr:rowOff>
    </xdr:to>
    <xdr:sp macro="" textlink="">
      <xdr:nvSpPr>
        <xdr:cNvPr id="31" name="Rounded Rectangle 30"/>
        <xdr:cNvSpPr/>
      </xdr:nvSpPr>
      <xdr:spPr>
        <a:xfrm>
          <a:off x="2861235" y="2330825"/>
          <a:ext cx="1411941" cy="23158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 Amount</a:t>
          </a:r>
        </a:p>
      </xdr:txBody>
    </xdr:sp>
    <xdr:clientData/>
  </xdr:twoCellAnchor>
  <xdr:twoCellAnchor>
    <xdr:from>
      <xdr:col>9</xdr:col>
      <xdr:colOff>59765</xdr:colOff>
      <xdr:row>12</xdr:row>
      <xdr:rowOff>97118</xdr:rowOff>
    </xdr:from>
    <xdr:to>
      <xdr:col>11</xdr:col>
      <xdr:colOff>59765</xdr:colOff>
      <xdr:row>13</xdr:row>
      <xdr:rowOff>119529</xdr:rowOff>
    </xdr:to>
    <xdr:sp macro="" textlink="">
      <xdr:nvSpPr>
        <xdr:cNvPr id="34" name="Rounded Rectangle 33"/>
        <xdr:cNvSpPr/>
      </xdr:nvSpPr>
      <xdr:spPr>
        <a:xfrm>
          <a:off x="5573059" y="2338294"/>
          <a:ext cx="1225177" cy="2091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10</xdr:col>
      <xdr:colOff>380999</xdr:colOff>
      <xdr:row>9</xdr:row>
      <xdr:rowOff>141940</xdr:rowOff>
    </xdr:from>
    <xdr:to>
      <xdr:col>14</xdr:col>
      <xdr:colOff>306294</xdr:colOff>
      <xdr:row>11</xdr:row>
      <xdr:rowOff>67234</xdr:rowOff>
    </xdr:to>
    <xdr:sp macro="" textlink="">
      <xdr:nvSpPr>
        <xdr:cNvPr id="37" name="Rounded Rectangle 36"/>
        <xdr:cNvSpPr/>
      </xdr:nvSpPr>
      <xdr:spPr>
        <a:xfrm>
          <a:off x="6506881" y="1822822"/>
          <a:ext cx="2375648" cy="29882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Sales By Region</a:t>
          </a:r>
        </a:p>
      </xdr:txBody>
    </xdr:sp>
    <xdr:clientData/>
  </xdr:twoCellAnchor>
  <xdr:twoCellAnchor>
    <xdr:from>
      <xdr:col>10</xdr:col>
      <xdr:colOff>448239</xdr:colOff>
      <xdr:row>18</xdr:row>
      <xdr:rowOff>22407</xdr:rowOff>
    </xdr:from>
    <xdr:to>
      <xdr:col>15</xdr:col>
      <xdr:colOff>89651</xdr:colOff>
      <xdr:row>19</xdr:row>
      <xdr:rowOff>171819</xdr:rowOff>
    </xdr:to>
    <xdr:sp macro="" textlink="">
      <xdr:nvSpPr>
        <xdr:cNvPr id="40" name="Rounded Rectangle 39"/>
        <xdr:cNvSpPr/>
      </xdr:nvSpPr>
      <xdr:spPr>
        <a:xfrm>
          <a:off x="6574121" y="3384172"/>
          <a:ext cx="2704354" cy="3361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Monthely Sales Report</a:t>
          </a:r>
        </a:p>
      </xdr:txBody>
    </xdr:sp>
    <xdr:clientData/>
  </xdr:twoCellAnchor>
  <xdr:twoCellAnchor>
    <xdr:from>
      <xdr:col>3</xdr:col>
      <xdr:colOff>291351</xdr:colOff>
      <xdr:row>15</xdr:row>
      <xdr:rowOff>119525</xdr:rowOff>
    </xdr:from>
    <xdr:to>
      <xdr:col>5</xdr:col>
      <xdr:colOff>306289</xdr:colOff>
      <xdr:row>17</xdr:row>
      <xdr:rowOff>52291</xdr:rowOff>
    </xdr:to>
    <xdr:sp macro="" textlink="">
      <xdr:nvSpPr>
        <xdr:cNvPr id="41" name="Rounded Rectangle 40"/>
        <xdr:cNvSpPr/>
      </xdr:nvSpPr>
      <xdr:spPr>
        <a:xfrm>
          <a:off x="2129116" y="2920996"/>
          <a:ext cx="1240114" cy="30629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Product</a:t>
          </a:r>
          <a:r>
            <a:rPr lang="en-IN" sz="1400" b="1" baseline="0">
              <a:solidFill>
                <a:schemeClr val="tx1"/>
              </a:solidFill>
            </a:rPr>
            <a:t> Sales</a:t>
          </a:r>
          <a:endParaRPr lang="en-IN" sz="1400" b="1">
            <a:solidFill>
              <a:schemeClr val="tx1"/>
            </a:solidFill>
          </a:endParaRPr>
        </a:p>
      </xdr:txBody>
    </xdr:sp>
    <xdr:clientData/>
  </xdr:twoCellAnchor>
  <xdr:twoCellAnchor>
    <xdr:from>
      <xdr:col>11</xdr:col>
      <xdr:colOff>313764</xdr:colOff>
      <xdr:row>11</xdr:row>
      <xdr:rowOff>37353</xdr:rowOff>
    </xdr:from>
    <xdr:to>
      <xdr:col>19</xdr:col>
      <xdr:colOff>179295</xdr:colOff>
      <xdr:row>17</xdr:row>
      <xdr:rowOff>179294</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328705</xdr:colOff>
      <xdr:row>19</xdr:row>
      <xdr:rowOff>112059</xdr:rowOff>
    </xdr:from>
    <xdr:to>
      <xdr:col>19</xdr:col>
      <xdr:colOff>134470</xdr:colOff>
      <xdr:row>26</xdr:row>
      <xdr:rowOff>171824</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381001</xdr:colOff>
      <xdr:row>17</xdr:row>
      <xdr:rowOff>22412</xdr:rowOff>
    </xdr:from>
    <xdr:to>
      <xdr:col>11</xdr:col>
      <xdr:colOff>156883</xdr:colOff>
      <xdr:row>26</xdr:row>
      <xdr:rowOff>171824</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410879</xdr:colOff>
      <xdr:row>13</xdr:row>
      <xdr:rowOff>104584</xdr:rowOff>
    </xdr:from>
    <xdr:to>
      <xdr:col>6</xdr:col>
      <xdr:colOff>485586</xdr:colOff>
      <xdr:row>15</xdr:row>
      <xdr:rowOff>59759</xdr:rowOff>
    </xdr:to>
    <xdr:sp macro="" textlink="'Pivote Table'!Q4">
      <xdr:nvSpPr>
        <xdr:cNvPr id="48" name="Rounded Rectangle 47"/>
        <xdr:cNvSpPr/>
      </xdr:nvSpPr>
      <xdr:spPr>
        <a:xfrm>
          <a:off x="2861232" y="2532525"/>
          <a:ext cx="1299883" cy="32870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19C90A-50B9-4A13-8A8A-5AAA24D99BB0}" type="TxLink">
            <a:rPr lang="en-US" sz="1800" b="1" i="0" u="none" strike="noStrike">
              <a:solidFill>
                <a:srgbClr val="000000"/>
              </a:solidFill>
              <a:latin typeface="Calibri"/>
              <a:ea typeface="Calibri"/>
              <a:cs typeface="Calibri"/>
            </a:rPr>
            <a:pPr algn="ctr"/>
            <a:t>1,06,479</a:t>
          </a:fld>
          <a:endParaRPr lang="en-IN" sz="1800" b="1"/>
        </a:p>
      </xdr:txBody>
    </xdr:sp>
    <xdr:clientData/>
  </xdr:twoCellAnchor>
  <xdr:twoCellAnchor>
    <xdr:from>
      <xdr:col>9</xdr:col>
      <xdr:colOff>74705</xdr:colOff>
      <xdr:row>13</xdr:row>
      <xdr:rowOff>52290</xdr:rowOff>
    </xdr:from>
    <xdr:to>
      <xdr:col>11</xdr:col>
      <xdr:colOff>52292</xdr:colOff>
      <xdr:row>15</xdr:row>
      <xdr:rowOff>44819</xdr:rowOff>
    </xdr:to>
    <xdr:sp macro="" textlink="'Pivote Table'!Q8">
      <xdr:nvSpPr>
        <xdr:cNvPr id="53" name="Rounded Rectangle 52"/>
        <xdr:cNvSpPr/>
      </xdr:nvSpPr>
      <xdr:spPr>
        <a:xfrm>
          <a:off x="5587999" y="2480231"/>
          <a:ext cx="1202764" cy="36605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BAD6517-D540-47A1-8A86-1AB0F4EF45A5}" type="TxLink">
            <a:rPr lang="en-US" sz="1800" b="1" i="0" u="none" strike="noStrike">
              <a:solidFill>
                <a:srgbClr val="000000"/>
              </a:solidFill>
              <a:latin typeface="Calibri"/>
              <a:ea typeface="Calibri"/>
              <a:cs typeface="Calibri"/>
            </a:rPr>
            <a:pPr algn="ctr"/>
            <a:t>500</a:t>
          </a:fld>
          <a:endParaRPr lang="en-IN" sz="1800" b="1"/>
        </a:p>
      </xdr:txBody>
    </xdr:sp>
    <xdr:clientData/>
  </xdr:twoCellAnchor>
  <xdr:twoCellAnchor>
    <xdr:from>
      <xdr:col>0</xdr:col>
      <xdr:colOff>126999</xdr:colOff>
      <xdr:row>0</xdr:row>
      <xdr:rowOff>149410</xdr:rowOff>
    </xdr:from>
    <xdr:to>
      <xdr:col>0</xdr:col>
      <xdr:colOff>418352</xdr:colOff>
      <xdr:row>5</xdr:row>
      <xdr:rowOff>171821</xdr:rowOff>
    </xdr:to>
    <xdr:sp macro="" textlink="">
      <xdr:nvSpPr>
        <xdr:cNvPr id="4" name="Diamond 3"/>
        <xdr:cNvSpPr/>
      </xdr:nvSpPr>
      <xdr:spPr>
        <a:xfrm>
          <a:off x="126999" y="149410"/>
          <a:ext cx="291353" cy="956235"/>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470645</xdr:colOff>
      <xdr:row>0</xdr:row>
      <xdr:rowOff>141940</xdr:rowOff>
    </xdr:from>
    <xdr:to>
      <xdr:col>1</xdr:col>
      <xdr:colOff>149410</xdr:colOff>
      <xdr:row>5</xdr:row>
      <xdr:rowOff>164351</xdr:rowOff>
    </xdr:to>
    <xdr:sp macro="" textlink="">
      <xdr:nvSpPr>
        <xdr:cNvPr id="32" name="Diamond 31"/>
        <xdr:cNvSpPr/>
      </xdr:nvSpPr>
      <xdr:spPr>
        <a:xfrm>
          <a:off x="470645" y="141940"/>
          <a:ext cx="291353" cy="956235"/>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239057</xdr:colOff>
      <xdr:row>0</xdr:row>
      <xdr:rowOff>141938</xdr:rowOff>
    </xdr:from>
    <xdr:to>
      <xdr:col>1</xdr:col>
      <xdr:colOff>530410</xdr:colOff>
      <xdr:row>5</xdr:row>
      <xdr:rowOff>164349</xdr:rowOff>
    </xdr:to>
    <xdr:sp macro="" textlink="">
      <xdr:nvSpPr>
        <xdr:cNvPr id="33" name="Diamond 32"/>
        <xdr:cNvSpPr/>
      </xdr:nvSpPr>
      <xdr:spPr>
        <a:xfrm>
          <a:off x="851645" y="141938"/>
          <a:ext cx="291353" cy="956235"/>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590175</xdr:colOff>
      <xdr:row>0</xdr:row>
      <xdr:rowOff>134467</xdr:rowOff>
    </xdr:from>
    <xdr:to>
      <xdr:col>2</xdr:col>
      <xdr:colOff>268940</xdr:colOff>
      <xdr:row>5</xdr:row>
      <xdr:rowOff>156878</xdr:rowOff>
    </xdr:to>
    <xdr:sp macro="" textlink="">
      <xdr:nvSpPr>
        <xdr:cNvPr id="35" name="Diamond 34"/>
        <xdr:cNvSpPr/>
      </xdr:nvSpPr>
      <xdr:spPr>
        <a:xfrm>
          <a:off x="1202763" y="134467"/>
          <a:ext cx="291353" cy="956235"/>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328705</xdr:colOff>
      <xdr:row>0</xdr:row>
      <xdr:rowOff>141938</xdr:rowOff>
    </xdr:from>
    <xdr:to>
      <xdr:col>3</xdr:col>
      <xdr:colOff>7469</xdr:colOff>
      <xdr:row>5</xdr:row>
      <xdr:rowOff>164349</xdr:rowOff>
    </xdr:to>
    <xdr:sp macro="" textlink="">
      <xdr:nvSpPr>
        <xdr:cNvPr id="36" name="Diamond 35"/>
        <xdr:cNvSpPr/>
      </xdr:nvSpPr>
      <xdr:spPr>
        <a:xfrm>
          <a:off x="1553881" y="141938"/>
          <a:ext cx="291353" cy="956235"/>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97116</xdr:colOff>
      <xdr:row>16</xdr:row>
      <xdr:rowOff>22412</xdr:rowOff>
    </xdr:from>
    <xdr:to>
      <xdr:col>0</xdr:col>
      <xdr:colOff>433291</xdr:colOff>
      <xdr:row>27</xdr:row>
      <xdr:rowOff>89647</xdr:rowOff>
    </xdr:to>
    <xdr:sp macro="" textlink="">
      <xdr:nvSpPr>
        <xdr:cNvPr id="38" name="Diamond 37"/>
        <xdr:cNvSpPr/>
      </xdr:nvSpPr>
      <xdr:spPr>
        <a:xfrm rot="10800000">
          <a:off x="97116" y="3010647"/>
          <a:ext cx="336175" cy="2121647"/>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485585</xdr:colOff>
      <xdr:row>16</xdr:row>
      <xdr:rowOff>29883</xdr:rowOff>
    </xdr:from>
    <xdr:to>
      <xdr:col>1</xdr:col>
      <xdr:colOff>209172</xdr:colOff>
      <xdr:row>27</xdr:row>
      <xdr:rowOff>97118</xdr:rowOff>
    </xdr:to>
    <xdr:sp macro="" textlink="">
      <xdr:nvSpPr>
        <xdr:cNvPr id="39" name="Diamond 38"/>
        <xdr:cNvSpPr/>
      </xdr:nvSpPr>
      <xdr:spPr>
        <a:xfrm rot="10800000">
          <a:off x="485585" y="3018118"/>
          <a:ext cx="336175" cy="2121647"/>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268938</xdr:colOff>
      <xdr:row>16</xdr:row>
      <xdr:rowOff>44824</xdr:rowOff>
    </xdr:from>
    <xdr:to>
      <xdr:col>1</xdr:col>
      <xdr:colOff>605113</xdr:colOff>
      <xdr:row>27</xdr:row>
      <xdr:rowOff>112059</xdr:rowOff>
    </xdr:to>
    <xdr:sp macro="" textlink="">
      <xdr:nvSpPr>
        <xdr:cNvPr id="42" name="Diamond 41"/>
        <xdr:cNvSpPr/>
      </xdr:nvSpPr>
      <xdr:spPr>
        <a:xfrm rot="10800000">
          <a:off x="881526" y="3033059"/>
          <a:ext cx="336175" cy="2121647"/>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44819</xdr:colOff>
      <xdr:row>16</xdr:row>
      <xdr:rowOff>52295</xdr:rowOff>
    </xdr:from>
    <xdr:to>
      <xdr:col>2</xdr:col>
      <xdr:colOff>380994</xdr:colOff>
      <xdr:row>27</xdr:row>
      <xdr:rowOff>119530</xdr:rowOff>
    </xdr:to>
    <xdr:sp macro="" textlink="">
      <xdr:nvSpPr>
        <xdr:cNvPr id="43" name="Diamond 42"/>
        <xdr:cNvSpPr/>
      </xdr:nvSpPr>
      <xdr:spPr>
        <a:xfrm rot="10800000">
          <a:off x="1269995" y="3040530"/>
          <a:ext cx="336175" cy="2121647"/>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418349</xdr:colOff>
      <xdr:row>16</xdr:row>
      <xdr:rowOff>74707</xdr:rowOff>
    </xdr:from>
    <xdr:to>
      <xdr:col>3</xdr:col>
      <xdr:colOff>141935</xdr:colOff>
      <xdr:row>27</xdr:row>
      <xdr:rowOff>141942</xdr:rowOff>
    </xdr:to>
    <xdr:sp macro="" textlink="">
      <xdr:nvSpPr>
        <xdr:cNvPr id="44" name="Diamond 43"/>
        <xdr:cNvSpPr/>
      </xdr:nvSpPr>
      <xdr:spPr>
        <a:xfrm rot="10800000">
          <a:off x="1643525" y="3062942"/>
          <a:ext cx="336175" cy="2121647"/>
        </a:xfrm>
        <a:prstGeom prst="diamond">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76.909141203701" createdVersion="6" refreshedVersion="6" minRefreshableVersion="3" recordCount="500">
  <cacheSource type="worksheet">
    <worksheetSource ref="A1:L501" sheet="Main Data"/>
  </cacheSource>
  <cacheFields count="14">
    <cacheField name="order_id" numFmtId="0">
      <sharedItems containsSemiMixedTypes="0" containsString="0" containsNumber="1" containsInteger="1" minValue="1" maxValue="500"/>
    </cacheField>
    <cacheField name="order_date" numFmtId="164">
      <sharedItems containsSemiMixedTypes="0" containsNonDate="0" containsDate="1" containsString="0" minDate="2022-01-02T00:00:00" maxDate="2024-01-01T00:00:00" count="346">
        <d v="2022-04-13T00:00:00"/>
        <d v="2023-03-12T00:00:00"/>
        <d v="2022-09-28T00:00:00"/>
        <d v="2022-04-17T00:00:00"/>
        <d v="2022-03-13T00:00:00"/>
        <d v="2023-12-02T00:00:00"/>
        <d v="2022-01-21T00:00:00"/>
        <d v="2023-09-07T00:00:00"/>
        <d v="2022-05-02T00:00:00"/>
        <d v="2023-04-12T00:00:00"/>
        <d v="2022-08-03T00:00:00"/>
        <d v="2022-11-27T00:00:00"/>
        <d v="2023-04-04T00:00:00"/>
        <d v="2022-03-29T00:00:00"/>
        <d v="2023-01-08T00:00:00"/>
        <d v="2022-04-10T00:00:00"/>
        <d v="2023-10-26T00:00:00"/>
        <d v="2022-05-11T00:00:00"/>
        <d v="2023-10-24T00:00:00"/>
        <d v="2022-11-05T00:00:00"/>
        <d v="2022-12-10T00:00:00"/>
        <d v="2023-05-07T00:00:00"/>
        <d v="2023-02-18T00:00:00"/>
        <d v="2023-01-21T00:00:00"/>
        <d v="2022-07-11T00:00:00"/>
        <d v="2022-10-04T00:00:00"/>
        <d v="2022-06-10T00:00:00"/>
        <d v="2023-04-05T00:00:00"/>
        <d v="2022-11-10T00:00:00"/>
        <d v="2022-01-22T00:00:00"/>
        <d v="2022-09-10T00:00:00"/>
        <d v="2023-07-15T00:00:00"/>
        <d v="2023-04-20T00:00:00"/>
        <d v="2022-02-28T00:00:00"/>
        <d v="2023-05-26T00:00:00"/>
        <d v="2023-11-13T00:00:00"/>
        <d v="2023-04-21T00:00:00"/>
        <d v="2023-12-01T00:00:00"/>
        <d v="2022-07-09T00:00:00"/>
        <d v="2023-11-18T00:00:00"/>
        <d v="2023-07-17T00:00:00"/>
        <d v="2023-07-21T00:00:00"/>
        <d v="2022-09-01T00:00:00"/>
        <d v="2023-05-20T00:00:00"/>
        <d v="2023-04-30T00:00:00"/>
        <d v="2023-10-09T00:00:00"/>
        <d v="2022-06-16T00:00:00"/>
        <d v="2022-10-01T00:00:00"/>
        <d v="2023-01-23T00:00:00"/>
        <d v="2023-08-24T00:00:00"/>
        <d v="2022-11-12T00:00:00"/>
        <d v="2022-01-14T00:00:00"/>
        <d v="2022-08-30T00:00:00"/>
        <d v="2022-12-12T00:00:00"/>
        <d v="2023-07-19T00:00:00"/>
        <d v="2022-12-06T00:00:00"/>
        <d v="2022-04-02T00:00:00"/>
        <d v="2023-01-02T00:00:00"/>
        <d v="2023-03-31T00:00:00"/>
        <d v="2023-03-04T00:00:00"/>
        <d v="2023-05-24T00:00:00"/>
        <d v="2022-02-04T00:00:00"/>
        <d v="2022-07-25T00:00:00"/>
        <d v="2022-03-22T00:00:00"/>
        <d v="2023-07-16T00:00:00"/>
        <d v="2022-01-02T00:00:00"/>
        <d v="2023-01-25T00:00:00"/>
        <d v="2023-07-20T00:00:00"/>
        <d v="2022-04-16T00:00:00"/>
        <d v="2023-04-22T00:00:00"/>
        <d v="2023-12-04T00:00:00"/>
        <d v="2023-02-06T00:00:00"/>
        <d v="2023-12-31T00:00:00"/>
        <d v="2023-07-10T00:00:00"/>
        <d v="2022-06-11T00:00:00"/>
        <d v="2022-07-21T00:00:00"/>
        <d v="2022-09-27T00:00:00"/>
        <d v="2023-04-01T00:00:00"/>
        <d v="2023-04-07T00:00:00"/>
        <d v="2023-12-28T00:00:00"/>
        <d v="2022-09-09T00:00:00"/>
        <d v="2023-12-03T00:00:00"/>
        <d v="2022-10-23T00:00:00"/>
        <d v="2023-12-26T00:00:00"/>
        <d v="2023-12-21T00:00:00"/>
        <d v="2022-12-04T00:00:00"/>
        <d v="2022-02-22T00:00:00"/>
        <d v="2022-08-05T00:00:00"/>
        <d v="2022-07-07T00:00:00"/>
        <d v="2023-01-15T00:00:00"/>
        <d v="2023-05-08T00:00:00"/>
        <d v="2022-02-10T00:00:00"/>
        <d v="2022-06-06T00:00:00"/>
        <d v="2022-01-15T00:00:00"/>
        <d v="2022-03-06T00:00:00"/>
        <d v="2023-06-05T00:00:00"/>
        <d v="2022-05-09T00:00:00"/>
        <d v="2023-10-10T00:00:00"/>
        <d v="2023-04-17T00:00:00"/>
        <d v="2022-03-04T00:00:00"/>
        <d v="2022-05-19T00:00:00"/>
        <d v="2023-05-14T00:00:00"/>
        <d v="2023-08-16T00:00:00"/>
        <d v="2023-01-27T00:00:00"/>
        <d v="2023-11-06T00:00:00"/>
        <d v="2023-02-23T00:00:00"/>
        <d v="2022-10-16T00:00:00"/>
        <d v="2023-01-14T00:00:00"/>
        <d v="2023-05-05T00:00:00"/>
        <d v="2022-08-19T00:00:00"/>
        <d v="2022-01-28T00:00:00"/>
        <d v="2022-05-15T00:00:00"/>
        <d v="2022-07-20T00:00:00"/>
        <d v="2022-02-02T00:00:00"/>
        <d v="2022-02-17T00:00:00"/>
        <d v="2023-05-18T00:00:00"/>
        <d v="2023-02-11T00:00:00"/>
        <d v="2023-07-28T00:00:00"/>
        <d v="2023-12-29T00:00:00"/>
        <d v="2022-04-09T00:00:00"/>
        <d v="2023-11-15T00:00:00"/>
        <d v="2023-12-27T00:00:00"/>
        <d v="2023-07-01T00:00:00"/>
        <d v="2023-09-05T00:00:00"/>
        <d v="2023-10-05T00:00:00"/>
        <d v="2022-01-05T00:00:00"/>
        <d v="2022-08-06T00:00:00"/>
        <d v="2023-02-02T00:00:00"/>
        <d v="2023-01-28T00:00:00"/>
        <d v="2022-07-26T00:00:00"/>
        <d v="2023-07-08T00:00:00"/>
        <d v="2023-04-06T00:00:00"/>
        <d v="2023-11-22T00:00:00"/>
        <d v="2023-07-29T00:00:00"/>
        <d v="2022-08-29T00:00:00"/>
        <d v="2023-07-18T00:00:00"/>
        <d v="2022-04-06T00:00:00"/>
        <d v="2023-10-17T00:00:00"/>
        <d v="2022-06-20T00:00:00"/>
        <d v="2023-06-25T00:00:00"/>
        <d v="2022-02-05T00:00:00"/>
        <d v="2023-06-09T00:00:00"/>
        <d v="2022-06-09T00:00:00"/>
        <d v="2023-11-30T00:00:00"/>
        <d v="2022-08-31T00:00:00"/>
        <d v="2022-03-27T00:00:00"/>
        <d v="2023-08-01T00:00:00"/>
        <d v="2023-07-11T00:00:00"/>
        <d v="2023-10-08T00:00:00"/>
        <d v="2023-09-12T00:00:00"/>
        <d v="2023-10-02T00:00:00"/>
        <d v="2023-05-21T00:00:00"/>
        <d v="2022-12-14T00:00:00"/>
        <d v="2023-04-18T00:00:00"/>
        <d v="2022-08-13T00:00:00"/>
        <d v="2023-01-20T00:00:00"/>
        <d v="2023-01-12T00:00:00"/>
        <d v="2022-10-10T00:00:00"/>
        <d v="2023-09-25T00:00:00"/>
        <d v="2023-09-20T00:00:00"/>
        <d v="2022-09-16T00:00:00"/>
        <d v="2022-12-25T00:00:00"/>
        <d v="2023-12-11T00:00:00"/>
        <d v="2023-02-15T00:00:00"/>
        <d v="2023-10-11T00:00:00"/>
        <d v="2022-11-14T00:00:00"/>
        <d v="2023-11-08T00:00:00"/>
        <d v="2022-08-22T00:00:00"/>
        <d v="2023-01-09T00:00:00"/>
        <d v="2023-11-03T00:00:00"/>
        <d v="2023-08-31T00:00:00"/>
        <d v="2022-08-21T00:00:00"/>
        <d v="2023-11-23T00:00:00"/>
        <d v="2022-04-23T00:00:00"/>
        <d v="2023-05-12T00:00:00"/>
        <d v="2023-03-18T00:00:00"/>
        <d v="2022-09-25T00:00:00"/>
        <d v="2023-05-25T00:00:00"/>
        <d v="2023-01-22T00:00:00"/>
        <d v="2023-09-17T00:00:00"/>
        <d v="2023-10-04T00:00:00"/>
        <d v="2022-08-08T00:00:00"/>
        <d v="2023-02-07T00:00:00"/>
        <d v="2023-09-30T00:00:00"/>
        <d v="2022-05-10T00:00:00"/>
        <d v="2023-02-20T00:00:00"/>
        <d v="2022-09-04T00:00:00"/>
        <d v="2023-03-15T00:00:00"/>
        <d v="2022-07-22T00:00:00"/>
        <d v="2022-07-03T00:00:00"/>
        <d v="2022-05-03T00:00:00"/>
        <d v="2023-02-05T00:00:00"/>
        <d v="2022-10-21T00:00:00"/>
        <d v="2022-10-07T00:00:00"/>
        <d v="2023-09-02T00:00:00"/>
        <d v="2022-07-17T00:00:00"/>
        <d v="2022-05-24T00:00:00"/>
        <d v="2023-09-01T00:00:00"/>
        <d v="2022-05-04T00:00:00"/>
        <d v="2022-07-06T00:00:00"/>
        <d v="2022-11-22T00:00:00"/>
        <d v="2023-04-09T00:00:00"/>
        <d v="2022-12-15T00:00:00"/>
        <d v="2023-10-22T00:00:00"/>
        <d v="2022-05-27T00:00:00"/>
        <d v="2022-05-28T00:00:00"/>
        <d v="2023-12-12T00:00:00"/>
        <d v="2023-05-04T00:00:00"/>
        <d v="2023-07-05T00:00:00"/>
        <d v="2023-10-03T00:00:00"/>
        <d v="2022-05-31T00:00:00"/>
        <d v="2023-02-19T00:00:00"/>
        <d v="2022-10-25T00:00:00"/>
        <d v="2023-09-03T00:00:00"/>
        <d v="2022-09-20T00:00:00"/>
        <d v="2023-09-16T00:00:00"/>
        <d v="2023-07-26T00:00:00"/>
        <d v="2022-10-31T00:00:00"/>
        <d v="2022-09-11T00:00:00"/>
        <d v="2023-10-14T00:00:00"/>
        <d v="2023-03-29T00:00:00"/>
        <d v="2022-02-06T00:00:00"/>
        <d v="2022-01-09T00:00:00"/>
        <d v="2023-10-21T00:00:00"/>
        <d v="2022-07-27T00:00:00"/>
        <d v="2023-02-08T00:00:00"/>
        <d v="2022-06-01T00:00:00"/>
        <d v="2022-02-23T00:00:00"/>
        <d v="2022-04-30T00:00:00"/>
        <d v="2023-11-04T00:00:00"/>
        <d v="2023-08-10T00:00:00"/>
        <d v="2023-02-24T00:00:00"/>
        <d v="2023-02-26T00:00:00"/>
        <d v="2022-04-14T00:00:00"/>
        <d v="2022-08-15T00:00:00"/>
        <d v="2022-04-22T00:00:00"/>
        <d v="2022-06-02T00:00:00"/>
        <d v="2023-12-07T00:00:00"/>
        <d v="2022-06-12T00:00:00"/>
        <d v="2023-11-12T00:00:00"/>
        <d v="2023-08-03T00:00:00"/>
        <d v="2023-05-19T00:00:00"/>
        <d v="2022-07-14T00:00:00"/>
        <d v="2023-11-19T00:00:00"/>
        <d v="2023-04-15T00:00:00"/>
        <d v="2023-01-10T00:00:00"/>
        <d v="2023-11-01T00:00:00"/>
        <d v="2022-02-07T00:00:00"/>
        <d v="2022-08-18T00:00:00"/>
        <d v="2022-12-31T00:00:00"/>
        <d v="2023-03-14T00:00:00"/>
        <d v="2022-01-27T00:00:00"/>
        <d v="2022-08-14T00:00:00"/>
        <d v="2022-10-11T00:00:00"/>
        <d v="2023-04-26T00:00:00"/>
        <d v="2023-05-31T00:00:00"/>
        <d v="2022-02-18T00:00:00"/>
        <d v="2023-05-27T00:00:00"/>
        <d v="2022-01-17T00:00:00"/>
        <d v="2022-06-21T00:00:00"/>
        <d v="2022-06-07T00:00:00"/>
        <d v="2022-02-15T00:00:00"/>
        <d v="2023-06-02T00:00:00"/>
        <d v="2022-10-29T00:00:00"/>
        <d v="2022-06-30T00:00:00"/>
        <d v="2023-08-30T00:00:00"/>
        <d v="2022-04-26T00:00:00"/>
        <d v="2022-07-10T00:00:00"/>
        <d v="2022-09-13T00:00:00"/>
        <d v="2022-11-19T00:00:00"/>
        <d v="2022-05-08T00:00:00"/>
        <d v="2022-01-18T00:00:00"/>
        <d v="2023-07-24T00:00:00"/>
        <d v="2023-11-17T00:00:00"/>
        <d v="2023-09-18T00:00:00"/>
        <d v="2022-10-15T00:00:00"/>
        <d v="2023-10-25T00:00:00"/>
        <d v="2023-10-01T00:00:00"/>
        <d v="2022-06-04T00:00:00"/>
        <d v="2022-09-03T00:00:00"/>
        <d v="2022-06-25T00:00:00"/>
        <d v="2022-02-08T00:00:00"/>
        <d v="2023-06-22T00:00:00"/>
        <d v="2023-02-12T00:00:00"/>
        <d v="2023-11-16T00:00:00"/>
        <d v="2022-01-20T00:00:00"/>
        <d v="2022-11-17T00:00:00"/>
        <d v="2023-02-04T00:00:00"/>
        <d v="2023-10-16T00:00:00"/>
        <d v="2023-04-16T00:00:00"/>
        <d v="2022-05-23T00:00:00"/>
        <d v="2022-12-20T00:00:00"/>
        <d v="2022-02-20T00:00:00"/>
        <d v="2023-10-27T00:00:00"/>
        <d v="2023-11-29T00:00:00"/>
        <d v="2022-05-05T00:00:00"/>
        <d v="2022-05-30T00:00:00"/>
        <d v="2022-12-08T00:00:00"/>
        <d v="2022-11-01T00:00:00"/>
        <d v="2023-03-20T00:00:00"/>
        <d v="2022-09-21T00:00:00"/>
        <d v="2022-07-15T00:00:00"/>
        <d v="2022-12-16T00:00:00"/>
        <d v="2022-02-16T00:00:00"/>
        <d v="2023-10-18T00:00:00"/>
        <d v="2022-09-26T00:00:00"/>
        <d v="2023-01-05T00:00:00"/>
        <d v="2023-09-28T00:00:00"/>
        <d v="2023-10-19T00:00:00"/>
        <d v="2023-08-27T00:00:00"/>
        <d v="2022-02-27T00:00:00"/>
        <d v="2023-04-19T00:00:00"/>
        <d v="2022-04-27T00:00:00"/>
        <d v="2022-05-07T00:00:00"/>
        <d v="2023-09-26T00:00:00"/>
        <d v="2023-05-28T00:00:00"/>
        <d v="2022-04-28T00:00:00"/>
        <d v="2023-07-14T00:00:00"/>
        <d v="2023-05-03T00:00:00"/>
        <d v="2022-08-25T00:00:00"/>
        <d v="2022-09-29T00:00:00"/>
        <d v="2022-07-08T00:00:00"/>
        <d v="2023-12-05T00:00:00"/>
        <d v="2023-03-23T00:00:00"/>
        <d v="2023-08-04T00:00:00"/>
        <d v="2022-03-17T00:00:00"/>
        <d v="2022-06-03T00:00:00"/>
        <d v="2023-03-11T00:00:00"/>
        <d v="2023-11-28T00:00:00"/>
        <d v="2022-10-12T00:00:00"/>
        <d v="2022-03-10T00:00:00"/>
        <d v="2022-04-04T00:00:00"/>
        <d v="2022-07-23T00:00:00"/>
        <d v="2023-03-08T00:00:00"/>
        <d v="2022-12-07T00:00:00"/>
        <d v="2023-09-04T00:00:00"/>
        <d v="2022-12-23T00:00:00"/>
        <d v="2022-01-23T00:00:00"/>
        <d v="2023-06-06T00:00:00"/>
        <d v="2022-06-29T00:00:00"/>
        <d v="2022-08-11T00:00:00"/>
        <d v="2022-11-21T00:00:00"/>
        <d v="2022-01-16T00:00:00"/>
        <d v="2022-12-02T00:00:00"/>
        <d v="2022-09-15T00:00:00"/>
        <d v="2023-11-21T00:00:00"/>
      </sharedItems>
      <fieldGroup par="13" base="1">
        <rangePr groupBy="months" startDate="2022-01-02T00:00:00" endDate="2024-01-01T00:00:00"/>
        <groupItems count="14">
          <s v="&lt;02-01-2022"/>
          <s v="Jan"/>
          <s v="Feb"/>
          <s v="Mar"/>
          <s v="Apr"/>
          <s v="May"/>
          <s v="Jun"/>
          <s v="Jul"/>
          <s v="Aug"/>
          <s v="Sep"/>
          <s v="Oct"/>
          <s v="Nov"/>
          <s v="Dec"/>
          <s v="&gt;01-01-2024"/>
        </groupItems>
      </fieldGroup>
    </cacheField>
    <cacheField name="product_id" numFmtId="0">
      <sharedItems/>
    </cacheField>
    <cacheField name="product_category" numFmtId="0">
      <sharedItems count="6">
        <s v="Books"/>
        <s v="Fashion"/>
        <s v="Sports"/>
        <s v="Beauty"/>
        <s v="Electronics"/>
        <s v="Home &amp; Kitchen"/>
      </sharedItems>
    </cacheField>
    <cacheField name="price" numFmtId="165">
      <sharedItems containsSemiMixedTypes="0" containsString="0" containsNumber="1" minValue="5.99" maxValue="499.06"/>
    </cacheField>
    <cacheField name="discount_percent" numFmtId="0">
      <sharedItems containsSemiMixedTypes="0" containsString="0" containsNumber="1" containsInteger="1" minValue="0" maxValue="30"/>
    </cacheField>
    <cacheField name="quantity_sold" numFmtId="0">
      <sharedItems containsSemiMixedTypes="0" containsString="0" containsNumber="1" containsInteger="1" minValue="1" maxValue="5"/>
    </cacheField>
    <cacheField name="customer_region" numFmtId="0">
      <sharedItems count="4">
        <s v="North America"/>
        <s v="Asia"/>
        <s v="Europe"/>
        <s v="Middle East"/>
      </sharedItems>
    </cacheField>
    <cacheField name="payment_method" numFmtId="0">
      <sharedItems/>
    </cacheField>
    <cacheField name="rating" numFmtId="0">
      <sharedItems containsSemiMixedTypes="0" containsString="0" containsNumber="1" minValue="1" maxValue="5"/>
    </cacheField>
    <cacheField name="review_count" numFmtId="0">
      <sharedItems containsSemiMixedTypes="0" containsString="0" containsNumber="1" containsInteger="1" minValue="0" maxValue="498"/>
    </cacheField>
    <cacheField name="discounted_price" numFmtId="165">
      <sharedItems containsSemiMixedTypes="0" containsString="0" containsNumber="1" minValue="4.79" maxValue="484.48" count="498">
        <n v="115.88"/>
        <n v="242.08"/>
        <n v="396.64"/>
        <n v="316.16000000000003"/>
        <n v="201.68"/>
        <n v="269.62"/>
        <n v="15.78"/>
        <n v="78.11"/>
        <n v="373.62"/>
        <n v="114.59"/>
        <n v="53.94"/>
        <n v="150.19"/>
        <n v="89.81"/>
        <n v="213.22"/>
        <n v="59.99"/>
        <n v="419.66"/>
        <n v="371.54"/>
        <n v="109.86"/>
        <n v="236.12"/>
        <n v="299.77"/>
        <n v="418.38"/>
        <n v="50.09"/>
        <n v="308.04000000000002"/>
        <n v="57.64"/>
        <n v="12.68"/>
        <n v="37.47"/>
        <n v="232.05"/>
        <n v="172.5"/>
        <n v="57.37"/>
        <n v="203.82"/>
        <n v="205.26"/>
        <n v="355.28"/>
        <n v="333.51"/>
        <n v="223.87"/>
        <n v="157.27000000000001"/>
        <n v="4.79"/>
        <n v="375.17"/>
        <n v="116.59"/>
        <n v="77.38"/>
        <n v="368.63"/>
        <n v="34.4"/>
        <n v="94.5"/>
        <n v="187.3"/>
        <n v="212.4"/>
        <n v="66.5"/>
        <n v="23.62"/>
        <n v="190.33"/>
        <n v="172.84"/>
        <n v="124.1"/>
        <n v="111.17"/>
        <n v="216.38"/>
        <n v="12.58"/>
        <n v="54.63"/>
        <n v="157.68"/>
        <n v="230.38"/>
        <n v="278.75"/>
        <n v="135.08000000000001"/>
        <n v="335.19"/>
        <n v="157.31"/>
        <n v="310.79000000000002"/>
        <n v="218.62"/>
        <n v="191.09"/>
        <n v="209.34"/>
        <n v="60.16"/>
        <n v="89.73"/>
        <n v="182.92"/>
        <n v="45.83"/>
        <n v="63.23"/>
        <n v="251"/>
        <n v="318.45"/>
        <n v="68.08"/>
        <n v="427.64"/>
        <n v="300.36"/>
        <n v="173.67"/>
        <n v="226.34"/>
        <n v="321.42"/>
        <n v="382.54"/>
        <n v="156.88"/>
        <n v="153.86000000000001"/>
        <n v="267.08"/>
        <n v="175.69"/>
        <n v="328.97"/>
        <n v="55.33"/>
        <n v="337.66"/>
        <n v="354.28"/>
        <n v="362.22"/>
        <n v="196.19"/>
        <n v="240"/>
        <n v="118.41"/>
        <n v="63.59"/>
        <n v="63.48"/>
        <n v="296.14"/>
        <n v="259.38"/>
        <n v="172.14"/>
        <n v="432.66"/>
        <n v="52.13"/>
        <n v="209.4"/>
        <n v="356.78"/>
        <n v="46.78"/>
        <n v="61.44"/>
        <n v="19.37"/>
        <n v="471.27"/>
        <n v="278.10000000000002"/>
        <n v="32.29"/>
        <n v="269.82"/>
        <n v="147.53"/>
        <n v="59.12"/>
        <n v="446.54"/>
        <n v="79.930000000000007"/>
        <n v="380.27"/>
        <n v="441.29"/>
        <n v="227.38"/>
        <n v="390.5"/>
        <n v="64.33"/>
        <n v="432.57"/>
        <n v="37.979999999999997"/>
        <n v="241.28"/>
        <n v="223.06"/>
        <n v="205.67"/>
        <n v="80.459999999999994"/>
        <n v="418.41"/>
        <n v="95.53"/>
        <n v="365.64"/>
        <n v="382.8"/>
        <n v="129.59"/>
        <n v="348.27"/>
        <n v="44.79"/>
        <n v="316.22000000000003"/>
        <n v="208.04"/>
        <n v="53.87"/>
        <n v="403.07"/>
        <n v="306.94"/>
        <n v="61.92"/>
        <n v="241.87"/>
        <n v="133.05000000000001"/>
        <n v="249.71"/>
        <n v="220.91"/>
        <n v="88.94"/>
        <n v="87.4"/>
        <n v="247.62"/>
        <n v="322.25"/>
        <n v="151.58000000000001"/>
        <n v="169.21"/>
        <n v="189.01"/>
        <n v="56.61"/>
        <n v="281.18"/>
        <n v="122.31"/>
        <n v="209.39"/>
        <n v="34.44"/>
        <n v="293.5"/>
        <n v="357.51"/>
        <n v="272.60000000000002"/>
        <n v="255.36"/>
        <n v="270.63"/>
        <n v="86.86"/>
        <n v="27.33"/>
        <n v="299.41000000000003"/>
        <n v="424.07"/>
        <n v="233.41"/>
        <n v="92.3"/>
        <n v="389.06"/>
        <n v="96.92"/>
        <n v="409.59"/>
        <n v="214.77"/>
        <n v="23.42"/>
        <n v="409.35"/>
        <n v="282.51"/>
        <n v="138.19999999999999"/>
        <n v="206.28"/>
        <n v="443.67"/>
        <n v="95"/>
        <n v="39.47"/>
        <n v="275.43"/>
        <n v="281.45999999999998"/>
        <n v="370.29"/>
        <n v="160.13999999999999"/>
        <n v="282.82"/>
        <n v="24.7"/>
        <n v="360.49"/>
        <n v="69.75"/>
        <n v="55.57"/>
        <n v="171.4"/>
        <n v="373.73"/>
        <n v="92.51"/>
        <n v="114.54"/>
        <n v="153.16"/>
        <n v="365.84"/>
        <n v="337.45"/>
        <n v="138.58000000000001"/>
        <n v="131.29"/>
        <n v="431.01"/>
        <n v="309.33"/>
        <n v="81.459999999999994"/>
        <n v="63.32"/>
        <n v="33.979999999999997"/>
        <n v="120.59"/>
        <n v="361.42"/>
        <n v="132.28"/>
        <n v="410.29"/>
        <n v="165.51"/>
        <n v="83.17"/>
        <n v="234.44"/>
        <n v="445.59"/>
        <n v="428.11"/>
        <n v="90.95"/>
        <n v="321.7"/>
        <n v="301.94"/>
        <n v="78.14"/>
        <n v="137.35"/>
        <n v="42.64"/>
        <n v="29.44"/>
        <n v="223.84"/>
        <n v="232.36"/>
        <n v="21.21"/>
        <n v="483.28"/>
        <n v="233.43"/>
        <n v="276.49"/>
        <n v="303.33"/>
        <n v="218.09"/>
        <n v="155.05000000000001"/>
        <n v="399.71"/>
        <n v="138.03"/>
        <n v="476"/>
        <n v="20.83"/>
        <n v="43.25"/>
        <n v="255.25"/>
        <n v="245.05"/>
        <n v="323.95999999999998"/>
        <n v="322.60000000000002"/>
        <n v="186.18"/>
        <n v="19.420000000000002"/>
        <n v="324.33"/>
        <n v="231.77"/>
        <n v="48.77"/>
        <n v="80.22"/>
        <n v="332.69"/>
        <n v="36.65"/>
        <n v="370.08"/>
        <n v="317.13"/>
        <n v="140.97"/>
        <n v="309.64"/>
        <n v="421"/>
        <n v="419.73"/>
        <n v="149.43"/>
        <n v="329.65"/>
        <n v="159.91999999999999"/>
        <n v="230.99"/>
        <n v="176.63"/>
        <n v="6.97"/>
        <n v="8.4499999999999993"/>
        <n v="310.05"/>
        <n v="378.77"/>
        <n v="83.06"/>
        <n v="260.72000000000003"/>
        <n v="140.84"/>
        <n v="217.24"/>
        <n v="60.31"/>
        <n v="345.88"/>
        <n v="208.44"/>
        <n v="157.82"/>
        <n v="266.77999999999997"/>
        <n v="232.26"/>
        <n v="184.61"/>
        <n v="255.48"/>
        <n v="381.66"/>
        <n v="37.33"/>
        <n v="369.9"/>
        <n v="57.4"/>
        <n v="85.72"/>
        <n v="416.24"/>
        <n v="284.18"/>
        <n v="143.28"/>
        <n v="205.34"/>
        <n v="137.75"/>
        <n v="110.64"/>
        <n v="35.130000000000003"/>
        <n v="19.5"/>
        <n v="215.3"/>
        <n v="254.03"/>
        <n v="343.77"/>
        <n v="49.49"/>
        <n v="259.77999999999997"/>
        <n v="323.83"/>
        <n v="384.36"/>
        <n v="256.13"/>
        <n v="60.48"/>
        <n v="69.91"/>
        <n v="193.02"/>
        <n v="248.47"/>
        <n v="464.95"/>
        <n v="354.02"/>
        <n v="189.1"/>
        <n v="124.83"/>
        <n v="10.51"/>
        <n v="8.82"/>
        <n v="191.88"/>
        <n v="33.4"/>
        <n v="82.4"/>
        <n v="465.78"/>
        <n v="288.02999999999997"/>
        <n v="194.53"/>
        <n v="365.2"/>
        <n v="88.18"/>
        <n v="168.05"/>
        <n v="150.9"/>
        <n v="398.2"/>
        <n v="451.05"/>
        <n v="185.79"/>
        <n v="193.41"/>
        <n v="424.2"/>
        <n v="91.06"/>
        <n v="175.86"/>
        <n v="339.46"/>
        <n v="318.06"/>
        <n v="260.32"/>
        <n v="476.19"/>
        <n v="108.08"/>
        <n v="272.14999999999998"/>
        <n v="406.19"/>
        <n v="102.06"/>
        <n v="305.35000000000002"/>
        <n v="289.23"/>
        <n v="135.54"/>
        <n v="276.77"/>
        <n v="394.73"/>
        <n v="345.9"/>
        <n v="129.88"/>
        <n v="386.74"/>
        <n v="21.69"/>
        <n v="8.6"/>
        <n v="242.24"/>
        <n v="219.07"/>
        <n v="237.25"/>
        <n v="114.82"/>
        <n v="300.74"/>
        <n v="12.05"/>
        <n v="186.78"/>
        <n v="167.97"/>
        <n v="100.56"/>
        <n v="180.47"/>
        <n v="346.68"/>
        <n v="387.05"/>
        <n v="187.05"/>
        <n v="123.75"/>
        <n v="108.9"/>
        <n v="262.52999999999997"/>
        <n v="187.8"/>
        <n v="154.08000000000001"/>
        <n v="224.29"/>
        <n v="280.43"/>
        <n v="120.75"/>
        <n v="134.58000000000001"/>
        <n v="248.72"/>
        <n v="157.41"/>
        <n v="202.35"/>
        <n v="321.81"/>
        <n v="79.56"/>
        <n v="412.36"/>
        <n v="155.26"/>
        <n v="345.39"/>
        <n v="152.12"/>
        <n v="228.08"/>
        <n v="128.06"/>
        <n v="262.7"/>
        <n v="45.52"/>
        <n v="149.35"/>
        <n v="228.74"/>
        <n v="270.67"/>
        <n v="73.39"/>
        <n v="138.69"/>
        <n v="49.85"/>
        <n v="292.60000000000002"/>
        <n v="344.34"/>
        <n v="145.47999999999999"/>
        <n v="244.14"/>
        <n v="230.16"/>
        <n v="73.44"/>
        <n v="268.38"/>
        <n v="221.69"/>
        <n v="246.39"/>
        <n v="28.9"/>
        <n v="31.19"/>
        <n v="385.86"/>
        <n v="446.65"/>
        <n v="12.62"/>
        <n v="272.52999999999997"/>
        <n v="25.97"/>
        <n v="377.73"/>
        <n v="27.91"/>
        <n v="263.06"/>
        <n v="218.08"/>
        <n v="52.55"/>
        <n v="239.37"/>
        <n v="447.57"/>
        <n v="47.86"/>
        <n v="275.13"/>
        <n v="125.34"/>
        <n v="140.44"/>
        <n v="192.04"/>
        <n v="417.85"/>
        <n v="101.33"/>
        <n v="422.2"/>
        <n v="35.19"/>
        <n v="329.27"/>
        <n v="13.83"/>
        <n v="59.7"/>
        <n v="390.65"/>
        <n v="136.72999999999999"/>
        <n v="6.82"/>
        <n v="376.64"/>
        <n v="388.81"/>
        <n v="317.45999999999998"/>
        <n v="446.58"/>
        <n v="116.03"/>
        <n v="291.98"/>
        <n v="372.46"/>
        <n v="340.85"/>
        <n v="359.66"/>
        <n v="23.97"/>
        <n v="146.91"/>
        <n v="216.64"/>
        <n v="428.42"/>
        <n v="136.26"/>
        <n v="7.64"/>
        <n v="97.54"/>
        <n v="172.43"/>
        <n v="29.98"/>
        <n v="23.36"/>
        <n v="142.66"/>
        <n v="276.83999999999997"/>
        <n v="356.7"/>
        <n v="255.3"/>
        <n v="187.65"/>
        <n v="10.029999999999999"/>
        <n v="121.48"/>
        <n v="319.76"/>
        <n v="204.78"/>
        <n v="128.94999999999999"/>
        <n v="100.78"/>
        <n v="13.55"/>
        <n v="392.74"/>
        <n v="417.65"/>
        <n v="148.81"/>
        <n v="299.3"/>
        <n v="26.01"/>
        <n v="378.18"/>
        <n v="408.47"/>
        <n v="57.85"/>
        <n v="391.4"/>
        <n v="239.26"/>
        <n v="290.79000000000002"/>
        <n v="191.98"/>
        <n v="43.94"/>
        <n v="378.74"/>
        <n v="40.32"/>
        <n v="146.62"/>
        <n v="345.14"/>
        <n v="216.21"/>
        <n v="328.83"/>
        <n v="84.19"/>
        <n v="332.7"/>
        <n v="221.64"/>
        <n v="231.68"/>
        <n v="484.48"/>
        <n v="421.46"/>
        <n v="168.29"/>
        <n v="403.72"/>
        <n v="56.05"/>
        <n v="17.96"/>
        <n v="255.23"/>
        <n v="270.27"/>
        <n v="108.65"/>
        <n v="38.04"/>
        <n v="402.35"/>
        <n v="443.91"/>
        <n v="296.39"/>
        <n v="341.43"/>
        <n v="354.59"/>
        <n v="123.19"/>
        <n v="47.47"/>
        <n v="385.15"/>
        <n v="314.92"/>
        <n v="387.01"/>
        <n v="324.52999999999997"/>
        <n v="204.04"/>
        <n v="376.57"/>
        <n v="321.31"/>
        <n v="8.3000000000000007"/>
        <n v="353.61"/>
        <n v="274.35000000000002"/>
        <n v="66.11"/>
        <n v="209.37"/>
        <n v="264.45999999999998"/>
        <n v="225.04"/>
        <n v="198.02"/>
        <n v="301.57"/>
        <n v="297.91000000000003"/>
        <n v="245.2"/>
      </sharedItems>
    </cacheField>
    <cacheField name="Quarters" numFmtId="0" databaseField="0">
      <fieldGroup base="1">
        <rangePr groupBy="quarters" startDate="2022-01-02T00:00:00" endDate="2024-01-01T00:00:00"/>
        <groupItems count="6">
          <s v="&lt;02-01-2022"/>
          <s v="Qtr1"/>
          <s v="Qtr2"/>
          <s v="Qtr3"/>
          <s v="Qtr4"/>
          <s v="&gt;01-01-2024"/>
        </groupItems>
      </fieldGroup>
    </cacheField>
    <cacheField name="Years" numFmtId="0" databaseField="0">
      <fieldGroup base="1">
        <rangePr groupBy="years" startDate="2022-01-02T00:00:00" endDate="2024-01-01T00:00:00"/>
        <groupItems count="5">
          <s v="&lt;02-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
    <x v="0"/>
    <s v="pr.01"/>
    <x v="0"/>
    <n v="128.75"/>
    <n v="10"/>
    <n v="4"/>
    <x v="0"/>
    <s v="UPI"/>
    <n v="3.5"/>
    <n v="443"/>
    <x v="0"/>
  </r>
  <r>
    <n v="2"/>
    <x v="1"/>
    <s v="pr.02"/>
    <x v="1"/>
    <n v="302.60000000000002"/>
    <n v="20"/>
    <n v="5"/>
    <x v="1"/>
    <s v="Credit Card"/>
    <n v="3.7"/>
    <n v="475"/>
    <x v="1"/>
  </r>
  <r>
    <n v="3"/>
    <x v="2"/>
    <s v="pr.03"/>
    <x v="2"/>
    <n v="495.8"/>
    <n v="20"/>
    <n v="2"/>
    <x v="2"/>
    <s v="UPI"/>
    <n v="4.4000000000000004"/>
    <n v="183"/>
    <x v="2"/>
  </r>
  <r>
    <n v="4"/>
    <x v="3"/>
    <s v="pr.04"/>
    <x v="0"/>
    <n v="371.95"/>
    <n v="15"/>
    <n v="4"/>
    <x v="3"/>
    <s v="UPI"/>
    <n v="5"/>
    <n v="212"/>
    <x v="3"/>
  </r>
  <r>
    <n v="5"/>
    <x v="4"/>
    <s v="pr.05"/>
    <x v="3"/>
    <n v="201.68"/>
    <n v="0"/>
    <n v="4"/>
    <x v="3"/>
    <s v="UPI"/>
    <n v="4.5999999999999996"/>
    <n v="308"/>
    <x v="4"/>
  </r>
  <r>
    <n v="6"/>
    <x v="5"/>
    <s v="pr.06"/>
    <x v="2"/>
    <n v="385.17"/>
    <n v="30"/>
    <n v="3"/>
    <x v="1"/>
    <s v="Wallet"/>
    <n v="3.8"/>
    <n v="489"/>
    <x v="5"/>
  </r>
  <r>
    <n v="7"/>
    <x v="6"/>
    <s v="pr.07"/>
    <x v="0"/>
    <n v="15.78"/>
    <n v="0"/>
    <n v="5"/>
    <x v="1"/>
    <s v="UPI"/>
    <n v="1.6"/>
    <n v="415"/>
    <x v="6"/>
  </r>
  <r>
    <n v="8"/>
    <x v="7"/>
    <s v="pr.08"/>
    <x v="1"/>
    <n v="111.59"/>
    <n v="30"/>
    <n v="4"/>
    <x v="3"/>
    <s v="UPI"/>
    <n v="3.4"/>
    <n v="143"/>
    <x v="7"/>
  </r>
  <r>
    <n v="9"/>
    <x v="8"/>
    <s v="pr.09"/>
    <x v="0"/>
    <n v="373.62"/>
    <n v="0"/>
    <n v="4"/>
    <x v="1"/>
    <s v="Wallet"/>
    <n v="2.8"/>
    <n v="497"/>
    <x v="8"/>
  </r>
  <r>
    <n v="10"/>
    <x v="9"/>
    <s v="pr.10"/>
    <x v="2"/>
    <n v="134.81"/>
    <n v="15"/>
    <n v="2"/>
    <x v="3"/>
    <s v="Cash on Delivery"/>
    <n v="2"/>
    <n v="25"/>
    <x v="9"/>
  </r>
  <r>
    <n v="11"/>
    <x v="10"/>
    <s v="pr.11"/>
    <x v="4"/>
    <n v="67.430000000000007"/>
    <n v="20"/>
    <n v="4"/>
    <x v="2"/>
    <s v="Debit Card"/>
    <n v="4.3"/>
    <n v="426"/>
    <x v="10"/>
  </r>
  <r>
    <n v="12"/>
    <x v="11"/>
    <s v="pr.12"/>
    <x v="0"/>
    <n v="150.19"/>
    <n v="0"/>
    <n v="1"/>
    <x v="0"/>
    <s v="Cash on Delivery"/>
    <n v="4.4000000000000004"/>
    <n v="279"/>
    <x v="11"/>
  </r>
  <r>
    <n v="13"/>
    <x v="12"/>
    <s v="pr.13"/>
    <x v="4"/>
    <n v="89.81"/>
    <n v="0"/>
    <n v="3"/>
    <x v="2"/>
    <s v="UPI"/>
    <n v="3.6"/>
    <n v="151"/>
    <x v="12"/>
  </r>
  <r>
    <n v="14"/>
    <x v="13"/>
    <s v="pr.14"/>
    <x v="5"/>
    <n v="213.22"/>
    <n v="0"/>
    <n v="3"/>
    <x v="2"/>
    <s v="Credit Card"/>
    <n v="1.4"/>
    <n v="239"/>
    <x v="13"/>
  </r>
  <r>
    <n v="15"/>
    <x v="14"/>
    <s v="pr.15"/>
    <x v="3"/>
    <n v="66.650000000000006"/>
    <n v="10"/>
    <n v="2"/>
    <x v="0"/>
    <s v="Debit Card"/>
    <n v="4.5999999999999996"/>
    <n v="262"/>
    <x v="14"/>
  </r>
  <r>
    <n v="16"/>
    <x v="15"/>
    <s v="pr.16"/>
    <x v="4"/>
    <n v="419.66"/>
    <n v="0"/>
    <n v="3"/>
    <x v="3"/>
    <s v="Credit Card"/>
    <n v="2.7"/>
    <n v="46"/>
    <x v="15"/>
  </r>
  <r>
    <n v="17"/>
    <x v="16"/>
    <s v="pr.17"/>
    <x v="2"/>
    <n v="391.09"/>
    <n v="5"/>
    <n v="3"/>
    <x v="3"/>
    <s v="Credit Card"/>
    <n v="3.7"/>
    <n v="51"/>
    <x v="16"/>
  </r>
  <r>
    <n v="18"/>
    <x v="17"/>
    <s v="pr.18"/>
    <x v="5"/>
    <n v="156.94999999999999"/>
    <n v="30"/>
    <n v="3"/>
    <x v="3"/>
    <s v="Cash on Delivery"/>
    <n v="2.9"/>
    <n v="354"/>
    <x v="17"/>
  </r>
  <r>
    <n v="19"/>
    <x v="18"/>
    <s v="pr.19"/>
    <x v="5"/>
    <n v="262.36"/>
    <n v="10"/>
    <n v="1"/>
    <x v="1"/>
    <s v="Wallet"/>
    <n v="4.5999999999999996"/>
    <n v="473"/>
    <x v="18"/>
  </r>
  <r>
    <n v="20"/>
    <x v="19"/>
    <s v="pr.20"/>
    <x v="1"/>
    <n v="428.24"/>
    <n v="30"/>
    <n v="3"/>
    <x v="3"/>
    <s v="Wallet"/>
    <n v="1.2"/>
    <n v="331"/>
    <x v="19"/>
  </r>
  <r>
    <n v="21"/>
    <x v="20"/>
    <s v="pr.21"/>
    <x v="5"/>
    <n v="464.87"/>
    <n v="10"/>
    <n v="3"/>
    <x v="0"/>
    <s v="Wallet"/>
    <n v="3.8"/>
    <n v="490"/>
    <x v="20"/>
  </r>
  <r>
    <n v="22"/>
    <x v="21"/>
    <s v="pr.22"/>
    <x v="3"/>
    <n v="50.09"/>
    <n v="0"/>
    <n v="1"/>
    <x v="2"/>
    <s v="UPI"/>
    <n v="4.3"/>
    <n v="34"/>
    <x v="21"/>
  </r>
  <r>
    <n v="23"/>
    <x v="22"/>
    <s v="pr.23"/>
    <x v="3"/>
    <n v="362.4"/>
    <n v="15"/>
    <n v="2"/>
    <x v="0"/>
    <s v="Debit Card"/>
    <n v="2.4"/>
    <n v="318"/>
    <x v="22"/>
  </r>
  <r>
    <n v="24"/>
    <x v="23"/>
    <s v="pr.24"/>
    <x v="3"/>
    <n v="72.05"/>
    <n v="20"/>
    <n v="2"/>
    <x v="3"/>
    <s v="Debit Card"/>
    <n v="4.4000000000000004"/>
    <n v="129"/>
    <x v="23"/>
  </r>
  <r>
    <n v="25"/>
    <x v="24"/>
    <s v="pr.25"/>
    <x v="3"/>
    <n v="14.92"/>
    <n v="15"/>
    <n v="1"/>
    <x v="3"/>
    <s v="Wallet"/>
    <n v="1"/>
    <n v="498"/>
    <x v="24"/>
  </r>
  <r>
    <n v="26"/>
    <x v="25"/>
    <s v="pr.26"/>
    <x v="1"/>
    <n v="44.08"/>
    <n v="15"/>
    <n v="1"/>
    <x v="2"/>
    <s v="Debit Card"/>
    <n v="1.1000000000000001"/>
    <n v="303"/>
    <x v="25"/>
  </r>
  <r>
    <n v="27"/>
    <x v="26"/>
    <s v="pr.27"/>
    <x v="0"/>
    <n v="290.06"/>
    <n v="20"/>
    <n v="5"/>
    <x v="1"/>
    <s v="Credit Card"/>
    <n v="4.0999999999999996"/>
    <n v="35"/>
    <x v="26"/>
  </r>
  <r>
    <n v="28"/>
    <x v="27"/>
    <s v="pr.28"/>
    <x v="2"/>
    <n v="191.67"/>
    <n v="10"/>
    <n v="5"/>
    <x v="1"/>
    <s v="Cash on Delivery"/>
    <n v="4.3"/>
    <n v="106"/>
    <x v="27"/>
  </r>
  <r>
    <n v="29"/>
    <x v="28"/>
    <s v="pr.29"/>
    <x v="2"/>
    <n v="63.74"/>
    <n v="10"/>
    <n v="1"/>
    <x v="2"/>
    <s v="Cash on Delivery"/>
    <n v="4.0999999999999996"/>
    <n v="318"/>
    <x v="28"/>
  </r>
  <r>
    <n v="30"/>
    <x v="29"/>
    <s v="pr.30"/>
    <x v="4"/>
    <n v="239.79"/>
    <n v="15"/>
    <n v="5"/>
    <x v="0"/>
    <s v="Credit Card"/>
    <n v="2.8"/>
    <n v="150"/>
    <x v="29"/>
  </r>
  <r>
    <n v="31"/>
    <x v="30"/>
    <s v="pr.31"/>
    <x v="1"/>
    <n v="256.57"/>
    <n v="20"/>
    <n v="2"/>
    <x v="0"/>
    <s v="Credit Card"/>
    <n v="3.6"/>
    <n v="269"/>
    <x v="30"/>
  </r>
  <r>
    <n v="32"/>
    <x v="31"/>
    <s v="pr.32"/>
    <x v="2"/>
    <n v="394.76"/>
    <n v="10"/>
    <n v="3"/>
    <x v="0"/>
    <s v="UPI"/>
    <n v="3.7"/>
    <n v="382"/>
    <x v="31"/>
  </r>
  <r>
    <n v="33"/>
    <x v="32"/>
    <s v="pr.33"/>
    <x v="1"/>
    <n v="333.51"/>
    <n v="0"/>
    <n v="5"/>
    <x v="2"/>
    <s v="Wallet"/>
    <n v="4.0999999999999996"/>
    <n v="196"/>
    <x v="32"/>
  </r>
  <r>
    <n v="34"/>
    <x v="33"/>
    <s v="pr.34"/>
    <x v="4"/>
    <n v="235.65"/>
    <n v="5"/>
    <n v="3"/>
    <x v="0"/>
    <s v="Cash on Delivery"/>
    <n v="4.3"/>
    <n v="448"/>
    <x v="33"/>
  </r>
  <r>
    <n v="35"/>
    <x v="34"/>
    <s v="pr.35"/>
    <x v="2"/>
    <n v="165.55"/>
    <n v="5"/>
    <n v="2"/>
    <x v="0"/>
    <s v="Wallet"/>
    <n v="5"/>
    <n v="149"/>
    <x v="34"/>
  </r>
  <r>
    <n v="36"/>
    <x v="35"/>
    <s v="pr.36"/>
    <x v="4"/>
    <n v="5.99"/>
    <n v="20"/>
    <n v="2"/>
    <x v="0"/>
    <s v="UPI"/>
    <n v="4.5"/>
    <n v="89"/>
    <x v="35"/>
  </r>
  <r>
    <n v="37"/>
    <x v="36"/>
    <s v="pr.37"/>
    <x v="0"/>
    <n v="416.86"/>
    <n v="10"/>
    <n v="3"/>
    <x v="2"/>
    <s v="Credit Card"/>
    <n v="1.9"/>
    <n v="484"/>
    <x v="36"/>
  </r>
  <r>
    <n v="38"/>
    <x v="37"/>
    <s v="pr.38"/>
    <x v="0"/>
    <n v="137.16"/>
    <n v="15"/>
    <n v="3"/>
    <x v="0"/>
    <s v="UPI"/>
    <n v="1.3"/>
    <n v="86"/>
    <x v="37"/>
  </r>
  <r>
    <n v="39"/>
    <x v="38"/>
    <s v="pr.39"/>
    <x v="3"/>
    <n v="110.54"/>
    <n v="30"/>
    <n v="4"/>
    <x v="2"/>
    <s v="Credit Card"/>
    <n v="3.5"/>
    <n v="4"/>
    <x v="38"/>
  </r>
  <r>
    <n v="40"/>
    <x v="39"/>
    <s v="pr.40"/>
    <x v="2"/>
    <n v="368.63"/>
    <n v="0"/>
    <n v="4"/>
    <x v="1"/>
    <s v="Debit Card"/>
    <n v="3.9"/>
    <n v="405"/>
    <x v="39"/>
  </r>
  <r>
    <n v="41"/>
    <x v="40"/>
    <s v="pr.41"/>
    <x v="0"/>
    <n v="40.47"/>
    <n v="15"/>
    <n v="1"/>
    <x v="3"/>
    <s v="Credit Card"/>
    <n v="3.7"/>
    <n v="418"/>
    <x v="40"/>
  </r>
  <r>
    <n v="42"/>
    <x v="41"/>
    <s v="pr.42"/>
    <x v="0"/>
    <n v="135"/>
    <n v="30"/>
    <n v="5"/>
    <x v="2"/>
    <s v="Cash on Delivery"/>
    <n v="3.9"/>
    <n v="469"/>
    <x v="41"/>
  </r>
  <r>
    <n v="43"/>
    <x v="42"/>
    <s v="pr.43"/>
    <x v="4"/>
    <n v="220.35"/>
    <n v="15"/>
    <n v="5"/>
    <x v="0"/>
    <s v="Cash on Delivery"/>
    <n v="3.1"/>
    <n v="146"/>
    <x v="42"/>
  </r>
  <r>
    <n v="44"/>
    <x v="43"/>
    <s v="pr.44"/>
    <x v="5"/>
    <n v="223.58"/>
    <n v="5"/>
    <n v="3"/>
    <x v="3"/>
    <s v="Wallet"/>
    <n v="3.5"/>
    <n v="238"/>
    <x v="43"/>
  </r>
  <r>
    <n v="45"/>
    <x v="17"/>
    <s v="pr.45"/>
    <x v="3"/>
    <n v="83.13"/>
    <n v="20"/>
    <n v="1"/>
    <x v="3"/>
    <s v="Wallet"/>
    <n v="2.6"/>
    <n v="71"/>
    <x v="44"/>
  </r>
  <r>
    <n v="46"/>
    <x v="44"/>
    <s v="pr.46"/>
    <x v="3"/>
    <n v="24.86"/>
    <n v="5"/>
    <n v="5"/>
    <x v="3"/>
    <s v="Debit Card"/>
    <n v="4"/>
    <n v="224"/>
    <x v="45"/>
  </r>
  <r>
    <n v="47"/>
    <x v="45"/>
    <s v="pr.47"/>
    <x v="1"/>
    <n v="237.91"/>
    <n v="20"/>
    <n v="3"/>
    <x v="0"/>
    <s v="Cash on Delivery"/>
    <n v="2.1"/>
    <n v="366"/>
    <x v="46"/>
  </r>
  <r>
    <n v="48"/>
    <x v="6"/>
    <s v="pr.48"/>
    <x v="0"/>
    <n v="181.94"/>
    <n v="5"/>
    <n v="2"/>
    <x v="1"/>
    <s v="Credit Card"/>
    <n v="4.2"/>
    <n v="5"/>
    <x v="47"/>
  </r>
  <r>
    <n v="49"/>
    <x v="46"/>
    <s v="pr.49"/>
    <x v="0"/>
    <n v="146"/>
    <n v="15"/>
    <n v="2"/>
    <x v="1"/>
    <s v="Debit Card"/>
    <n v="4.5"/>
    <n v="157"/>
    <x v="48"/>
  </r>
  <r>
    <n v="50"/>
    <x v="47"/>
    <s v="pr.50"/>
    <x v="4"/>
    <n v="138.96"/>
    <n v="20"/>
    <n v="1"/>
    <x v="3"/>
    <s v="Cash on Delivery"/>
    <n v="3.4"/>
    <n v="451"/>
    <x v="49"/>
  </r>
  <r>
    <n v="51"/>
    <x v="48"/>
    <s v="pr.51"/>
    <x v="0"/>
    <n v="254.57"/>
    <n v="15"/>
    <n v="3"/>
    <x v="3"/>
    <s v="Cash on Delivery"/>
    <n v="2.5"/>
    <n v="361"/>
    <x v="50"/>
  </r>
  <r>
    <n v="52"/>
    <x v="49"/>
    <s v="pr.52"/>
    <x v="1"/>
    <n v="15.72"/>
    <n v="20"/>
    <n v="2"/>
    <x v="1"/>
    <s v="Debit Card"/>
    <n v="3.3"/>
    <n v="429"/>
    <x v="51"/>
  </r>
  <r>
    <n v="53"/>
    <x v="50"/>
    <s v="pr.53"/>
    <x v="4"/>
    <n v="57.51"/>
    <n v="5"/>
    <n v="3"/>
    <x v="1"/>
    <s v="Cash on Delivery"/>
    <n v="2"/>
    <n v="178"/>
    <x v="52"/>
  </r>
  <r>
    <n v="54"/>
    <x v="51"/>
    <s v="pr.54"/>
    <x v="3"/>
    <n v="165.98"/>
    <n v="5"/>
    <n v="1"/>
    <x v="1"/>
    <s v="UPI"/>
    <n v="3.6"/>
    <n v="348"/>
    <x v="53"/>
  </r>
  <r>
    <n v="55"/>
    <x v="52"/>
    <s v="pr.55"/>
    <x v="0"/>
    <n v="242.51"/>
    <n v="5"/>
    <n v="2"/>
    <x v="1"/>
    <s v="Cash on Delivery"/>
    <n v="4.0999999999999996"/>
    <n v="201"/>
    <x v="54"/>
  </r>
  <r>
    <n v="56"/>
    <x v="53"/>
    <s v="pr.56"/>
    <x v="0"/>
    <n v="348.44"/>
    <n v="20"/>
    <n v="4"/>
    <x v="0"/>
    <s v="Cash on Delivery"/>
    <n v="1.2"/>
    <n v="57"/>
    <x v="55"/>
  </r>
  <r>
    <n v="57"/>
    <x v="54"/>
    <s v="pr.57"/>
    <x v="1"/>
    <n v="150.09"/>
    <n v="10"/>
    <n v="4"/>
    <x v="2"/>
    <s v="Cash on Delivery"/>
    <n v="2.2999999999999998"/>
    <n v="363"/>
    <x v="56"/>
  </r>
  <r>
    <n v="58"/>
    <x v="55"/>
    <s v="pr.58"/>
    <x v="2"/>
    <n v="335.19"/>
    <n v="0"/>
    <n v="4"/>
    <x v="3"/>
    <s v="Wallet"/>
    <n v="3.1"/>
    <n v="389"/>
    <x v="57"/>
  </r>
  <r>
    <n v="59"/>
    <x v="56"/>
    <s v="pr.59"/>
    <x v="1"/>
    <n v="196.64"/>
    <n v="20"/>
    <n v="2"/>
    <x v="1"/>
    <s v="Credit Card"/>
    <n v="2.1"/>
    <n v="206"/>
    <x v="58"/>
  </r>
  <r>
    <n v="60"/>
    <x v="57"/>
    <s v="pr.60"/>
    <x v="4"/>
    <n v="388.49"/>
    <n v="20"/>
    <n v="5"/>
    <x v="0"/>
    <s v="Wallet"/>
    <n v="1.3"/>
    <n v="220"/>
    <x v="59"/>
  </r>
  <r>
    <n v="61"/>
    <x v="58"/>
    <s v="pr.61"/>
    <x v="3"/>
    <n v="242.91"/>
    <n v="10"/>
    <n v="2"/>
    <x v="1"/>
    <s v="Wallet"/>
    <n v="3.2"/>
    <n v="286"/>
    <x v="60"/>
  </r>
  <r>
    <n v="62"/>
    <x v="59"/>
    <s v="pr.62"/>
    <x v="2"/>
    <n v="272.99"/>
    <n v="30"/>
    <n v="1"/>
    <x v="3"/>
    <s v="Cash on Delivery"/>
    <n v="4.5999999999999996"/>
    <n v="389"/>
    <x v="61"/>
  </r>
  <r>
    <n v="63"/>
    <x v="60"/>
    <s v="pr.63"/>
    <x v="2"/>
    <n v="220.36"/>
    <n v="5"/>
    <n v="4"/>
    <x v="3"/>
    <s v="Cash on Delivery"/>
    <n v="3.9"/>
    <n v="208"/>
    <x v="62"/>
  </r>
  <r>
    <n v="64"/>
    <x v="61"/>
    <s v="pr.64"/>
    <x v="1"/>
    <n v="70.78"/>
    <n v="15"/>
    <n v="1"/>
    <x v="2"/>
    <s v="UPI"/>
    <n v="2.4"/>
    <n v="486"/>
    <x v="63"/>
  </r>
  <r>
    <n v="65"/>
    <x v="62"/>
    <s v="pr.65"/>
    <x v="1"/>
    <n v="89.73"/>
    <n v="0"/>
    <n v="5"/>
    <x v="1"/>
    <s v="Cash on Delivery"/>
    <n v="4.3"/>
    <n v="399"/>
    <x v="64"/>
  </r>
  <r>
    <n v="66"/>
    <x v="63"/>
    <s v="pr.66"/>
    <x v="3"/>
    <n v="203.24"/>
    <n v="10"/>
    <n v="3"/>
    <x v="0"/>
    <s v="Wallet"/>
    <n v="4"/>
    <n v="412"/>
    <x v="65"/>
  </r>
  <r>
    <n v="67"/>
    <x v="64"/>
    <s v="pr.67"/>
    <x v="5"/>
    <n v="53.92"/>
    <n v="15"/>
    <n v="1"/>
    <x v="0"/>
    <s v="UPI"/>
    <n v="2.1"/>
    <n v="286"/>
    <x v="66"/>
  </r>
  <r>
    <n v="68"/>
    <x v="48"/>
    <s v="pr.68"/>
    <x v="4"/>
    <n v="74.39"/>
    <n v="15"/>
    <n v="3"/>
    <x v="3"/>
    <s v="Credit Card"/>
    <n v="5"/>
    <n v="384"/>
    <x v="67"/>
  </r>
  <r>
    <n v="69"/>
    <x v="65"/>
    <s v="pr.69"/>
    <x v="2"/>
    <n v="313.75"/>
    <n v="20"/>
    <n v="2"/>
    <x v="1"/>
    <s v="Cash on Delivery"/>
    <n v="3.4"/>
    <n v="25"/>
    <x v="68"/>
  </r>
  <r>
    <n v="70"/>
    <x v="66"/>
    <s v="pr.70"/>
    <x v="5"/>
    <n v="318.45"/>
    <n v="0"/>
    <n v="5"/>
    <x v="1"/>
    <s v="UPI"/>
    <n v="1.1000000000000001"/>
    <n v="337"/>
    <x v="69"/>
  </r>
  <r>
    <n v="71"/>
    <x v="67"/>
    <s v="pr.71"/>
    <x v="3"/>
    <n v="68.08"/>
    <n v="0"/>
    <n v="4"/>
    <x v="1"/>
    <s v="Cash on Delivery"/>
    <n v="4"/>
    <n v="0"/>
    <x v="70"/>
  </r>
  <r>
    <n v="72"/>
    <x v="68"/>
    <s v="pr.72"/>
    <x v="2"/>
    <n v="427.64"/>
    <n v="0"/>
    <n v="4"/>
    <x v="3"/>
    <s v="Debit Card"/>
    <n v="3.5"/>
    <n v="178"/>
    <x v="71"/>
  </r>
  <r>
    <n v="73"/>
    <x v="69"/>
    <s v="pr.73"/>
    <x v="2"/>
    <n v="429.08"/>
    <n v="30"/>
    <n v="4"/>
    <x v="0"/>
    <s v="Credit Card"/>
    <n v="3.7"/>
    <n v="70"/>
    <x v="72"/>
  </r>
  <r>
    <n v="74"/>
    <x v="70"/>
    <s v="pr.74"/>
    <x v="0"/>
    <n v="192.97"/>
    <n v="10"/>
    <n v="1"/>
    <x v="0"/>
    <s v="Wallet"/>
    <n v="4.3"/>
    <n v="88"/>
    <x v="73"/>
  </r>
  <r>
    <n v="75"/>
    <x v="71"/>
    <s v="pr.75"/>
    <x v="2"/>
    <n v="251.49"/>
    <n v="10"/>
    <n v="1"/>
    <x v="2"/>
    <s v="Cash on Delivery"/>
    <n v="1.7"/>
    <n v="212"/>
    <x v="74"/>
  </r>
  <r>
    <n v="76"/>
    <x v="72"/>
    <s v="pr.76"/>
    <x v="4"/>
    <n v="401.77"/>
    <n v="20"/>
    <n v="2"/>
    <x v="0"/>
    <s v="UPI"/>
    <n v="4.5999999999999996"/>
    <n v="38"/>
    <x v="75"/>
  </r>
  <r>
    <n v="77"/>
    <x v="73"/>
    <s v="pr.77"/>
    <x v="3"/>
    <n v="382.54"/>
    <n v="0"/>
    <n v="4"/>
    <x v="2"/>
    <s v="Cash on Delivery"/>
    <n v="3.7"/>
    <n v="92"/>
    <x v="76"/>
  </r>
  <r>
    <n v="78"/>
    <x v="74"/>
    <s v="pr.78"/>
    <x v="3"/>
    <n v="184.56"/>
    <n v="15"/>
    <n v="2"/>
    <x v="1"/>
    <s v="Credit Card"/>
    <n v="2.5"/>
    <n v="261"/>
    <x v="77"/>
  </r>
  <r>
    <n v="79"/>
    <x v="75"/>
    <s v="pr.79"/>
    <x v="2"/>
    <n v="161.96"/>
    <n v="5"/>
    <n v="5"/>
    <x v="3"/>
    <s v="Cash on Delivery"/>
    <n v="2.2000000000000002"/>
    <n v="3"/>
    <x v="78"/>
  </r>
  <r>
    <n v="80"/>
    <x v="76"/>
    <s v="pr.80"/>
    <x v="4"/>
    <n v="333.85"/>
    <n v="20"/>
    <n v="3"/>
    <x v="3"/>
    <s v="Cash on Delivery"/>
    <n v="1.2"/>
    <n v="405"/>
    <x v="79"/>
  </r>
  <r>
    <n v="81"/>
    <x v="2"/>
    <s v="pr.81"/>
    <x v="5"/>
    <n v="184.94"/>
    <n v="5"/>
    <n v="2"/>
    <x v="0"/>
    <s v="Wallet"/>
    <n v="3.9"/>
    <n v="479"/>
    <x v="80"/>
  </r>
  <r>
    <n v="82"/>
    <x v="77"/>
    <s v="pr.82"/>
    <x v="0"/>
    <n v="346.28"/>
    <n v="5"/>
    <n v="4"/>
    <x v="2"/>
    <s v="Cash on Delivery"/>
    <n v="4.2"/>
    <n v="477"/>
    <x v="81"/>
  </r>
  <r>
    <n v="83"/>
    <x v="78"/>
    <s v="pr.83"/>
    <x v="5"/>
    <n v="69.16"/>
    <n v="20"/>
    <n v="1"/>
    <x v="0"/>
    <s v="Credit Card"/>
    <n v="3"/>
    <n v="492"/>
    <x v="82"/>
  </r>
  <r>
    <n v="84"/>
    <x v="79"/>
    <s v="pr.84"/>
    <x v="1"/>
    <n v="337.66"/>
    <n v="0"/>
    <n v="2"/>
    <x v="1"/>
    <s v="Cash on Delivery"/>
    <n v="2.6"/>
    <n v="316"/>
    <x v="83"/>
  </r>
  <r>
    <n v="85"/>
    <x v="80"/>
    <s v="pr.85"/>
    <x v="5"/>
    <n v="393.65"/>
    <n v="10"/>
    <n v="3"/>
    <x v="3"/>
    <s v="Cash on Delivery"/>
    <n v="1.2"/>
    <n v="112"/>
    <x v="84"/>
  </r>
  <r>
    <n v="86"/>
    <x v="81"/>
    <s v="pr.86"/>
    <x v="1"/>
    <n v="452.78"/>
    <n v="20"/>
    <n v="5"/>
    <x v="0"/>
    <s v="UPI"/>
    <n v="2.4"/>
    <n v="102"/>
    <x v="85"/>
  </r>
  <r>
    <n v="87"/>
    <x v="82"/>
    <s v="pr.87"/>
    <x v="4"/>
    <n v="230.81"/>
    <n v="15"/>
    <n v="2"/>
    <x v="3"/>
    <s v="Credit Card"/>
    <n v="4.7"/>
    <n v="313"/>
    <x v="86"/>
  </r>
  <r>
    <n v="88"/>
    <x v="83"/>
    <s v="pr.88"/>
    <x v="2"/>
    <n v="282.35000000000002"/>
    <n v="15"/>
    <n v="2"/>
    <x v="0"/>
    <s v="Credit Card"/>
    <n v="2.5"/>
    <n v="3"/>
    <x v="87"/>
  </r>
  <r>
    <n v="89"/>
    <x v="84"/>
    <s v="pr.89"/>
    <x v="1"/>
    <n v="148.01"/>
    <n v="20"/>
    <n v="2"/>
    <x v="1"/>
    <s v="UPI"/>
    <n v="3.2"/>
    <n v="295"/>
    <x v="88"/>
  </r>
  <r>
    <n v="90"/>
    <x v="85"/>
    <s v="pr.90"/>
    <x v="3"/>
    <n v="79.489999999999995"/>
    <n v="20"/>
    <n v="3"/>
    <x v="3"/>
    <s v="Wallet"/>
    <n v="4.4000000000000004"/>
    <n v="472"/>
    <x v="89"/>
  </r>
  <r>
    <n v="91"/>
    <x v="86"/>
    <s v="pr.91"/>
    <x v="2"/>
    <n v="90.69"/>
    <n v="30"/>
    <n v="5"/>
    <x v="0"/>
    <s v="Wallet"/>
    <n v="3.1"/>
    <n v="376"/>
    <x v="90"/>
  </r>
  <r>
    <n v="92"/>
    <x v="87"/>
    <s v="pr.92"/>
    <x v="2"/>
    <n v="423.06"/>
    <n v="30"/>
    <n v="5"/>
    <x v="2"/>
    <s v="UPI"/>
    <n v="2"/>
    <n v="312"/>
    <x v="91"/>
  </r>
  <r>
    <n v="93"/>
    <x v="88"/>
    <s v="pr.93"/>
    <x v="2"/>
    <n v="273.02999999999997"/>
    <n v="5"/>
    <n v="4"/>
    <x v="0"/>
    <s v="Debit Card"/>
    <n v="3"/>
    <n v="361"/>
    <x v="92"/>
  </r>
  <r>
    <n v="94"/>
    <x v="89"/>
    <s v="pr.94"/>
    <x v="1"/>
    <n v="191.27"/>
    <n v="10"/>
    <n v="2"/>
    <x v="2"/>
    <s v="Cash on Delivery"/>
    <n v="1.5"/>
    <n v="294"/>
    <x v="93"/>
  </r>
  <r>
    <n v="95"/>
    <x v="90"/>
    <s v="pr.95"/>
    <x v="3"/>
    <n v="432.66"/>
    <n v="0"/>
    <n v="4"/>
    <x v="3"/>
    <s v="Wallet"/>
    <n v="3.4"/>
    <n v="252"/>
    <x v="94"/>
  </r>
  <r>
    <n v="96"/>
    <x v="91"/>
    <s v="pr.96"/>
    <x v="3"/>
    <n v="61.33"/>
    <n v="15"/>
    <n v="3"/>
    <x v="3"/>
    <s v="Credit Card"/>
    <n v="4.0999999999999996"/>
    <n v="418"/>
    <x v="95"/>
  </r>
  <r>
    <n v="97"/>
    <x v="92"/>
    <s v="pr.97"/>
    <x v="5"/>
    <n v="299.14"/>
    <n v="30"/>
    <n v="5"/>
    <x v="2"/>
    <s v="Credit Card"/>
    <n v="1.9"/>
    <n v="223"/>
    <x v="96"/>
  </r>
  <r>
    <n v="98"/>
    <x v="93"/>
    <s v="pr.98"/>
    <x v="2"/>
    <n v="396.42"/>
    <n v="10"/>
    <n v="3"/>
    <x v="0"/>
    <s v="UPI"/>
    <n v="2.2000000000000002"/>
    <n v="213"/>
    <x v="97"/>
  </r>
  <r>
    <n v="99"/>
    <x v="94"/>
    <s v="pr.99"/>
    <x v="2"/>
    <n v="66.83"/>
    <n v="30"/>
    <n v="3"/>
    <x v="3"/>
    <s v="Debit Card"/>
    <n v="4.5999999999999996"/>
    <n v="54"/>
    <x v="98"/>
  </r>
  <r>
    <n v="100"/>
    <x v="95"/>
    <s v="pr.100"/>
    <x v="0"/>
    <n v="64.67"/>
    <n v="5"/>
    <n v="2"/>
    <x v="0"/>
    <s v="Cash on Delivery"/>
    <n v="4.3"/>
    <n v="438"/>
    <x v="99"/>
  </r>
  <r>
    <n v="101"/>
    <x v="20"/>
    <s v="pr.101"/>
    <x v="2"/>
    <n v="21.52"/>
    <n v="10"/>
    <n v="1"/>
    <x v="1"/>
    <s v="UPI"/>
    <n v="1.1000000000000001"/>
    <n v="300"/>
    <x v="100"/>
  </r>
  <r>
    <n v="102"/>
    <x v="96"/>
    <s v="pr.102"/>
    <x v="5"/>
    <n v="471.27"/>
    <n v="0"/>
    <n v="3"/>
    <x v="2"/>
    <s v="UPI"/>
    <n v="1.7"/>
    <n v="178"/>
    <x v="101"/>
  </r>
  <r>
    <n v="103"/>
    <x v="97"/>
    <s v="pr.103"/>
    <x v="5"/>
    <n v="347.63"/>
    <n v="20"/>
    <n v="5"/>
    <x v="2"/>
    <s v="Wallet"/>
    <n v="1.2"/>
    <n v="19"/>
    <x v="102"/>
  </r>
  <r>
    <n v="104"/>
    <x v="98"/>
    <s v="pr.104"/>
    <x v="3"/>
    <n v="40.36"/>
    <n v="20"/>
    <n v="2"/>
    <x v="3"/>
    <s v="Debit Card"/>
    <n v="1.1000000000000001"/>
    <n v="322"/>
    <x v="103"/>
  </r>
  <r>
    <n v="105"/>
    <x v="99"/>
    <s v="pr.105"/>
    <x v="0"/>
    <n v="337.27"/>
    <n v="20"/>
    <n v="2"/>
    <x v="3"/>
    <s v="UPI"/>
    <n v="3.9"/>
    <n v="107"/>
    <x v="104"/>
  </r>
  <r>
    <n v="106"/>
    <x v="100"/>
    <s v="pr.106"/>
    <x v="3"/>
    <n v="155.29"/>
    <n v="5"/>
    <n v="2"/>
    <x v="3"/>
    <s v="Wallet"/>
    <n v="3.5"/>
    <n v="249"/>
    <x v="105"/>
  </r>
  <r>
    <n v="107"/>
    <x v="101"/>
    <s v="pr.107"/>
    <x v="2"/>
    <n v="59.12"/>
    <n v="0"/>
    <n v="4"/>
    <x v="3"/>
    <s v="Debit Card"/>
    <n v="3.4"/>
    <n v="433"/>
    <x v="106"/>
  </r>
  <r>
    <n v="108"/>
    <x v="102"/>
    <s v="pr.108"/>
    <x v="0"/>
    <n v="496.15"/>
    <n v="10"/>
    <n v="3"/>
    <x v="0"/>
    <s v="Cash on Delivery"/>
    <n v="2"/>
    <n v="422"/>
    <x v="107"/>
  </r>
  <r>
    <n v="109"/>
    <x v="103"/>
    <s v="pr.109"/>
    <x v="1"/>
    <n v="94.04"/>
    <n v="15"/>
    <n v="5"/>
    <x v="3"/>
    <s v="Debit Card"/>
    <n v="2.8"/>
    <n v="200"/>
    <x v="108"/>
  </r>
  <r>
    <n v="110"/>
    <x v="104"/>
    <s v="pr.110"/>
    <x v="3"/>
    <n v="400.28"/>
    <n v="5"/>
    <n v="2"/>
    <x v="3"/>
    <s v="Cash on Delivery"/>
    <n v="3.9"/>
    <n v="328"/>
    <x v="109"/>
  </r>
  <r>
    <n v="111"/>
    <x v="105"/>
    <s v="pr.111"/>
    <x v="5"/>
    <n v="441.29"/>
    <n v="0"/>
    <n v="3"/>
    <x v="2"/>
    <s v="Cash on Delivery"/>
    <n v="3"/>
    <n v="447"/>
    <x v="110"/>
  </r>
  <r>
    <n v="112"/>
    <x v="106"/>
    <s v="pr.112"/>
    <x v="3"/>
    <n v="267.51"/>
    <n v="15"/>
    <n v="3"/>
    <x v="0"/>
    <s v="Debit Card"/>
    <n v="1.3"/>
    <n v="358"/>
    <x v="111"/>
  </r>
  <r>
    <n v="113"/>
    <x v="107"/>
    <s v="pr.113"/>
    <x v="4"/>
    <n v="488.12"/>
    <n v="20"/>
    <n v="2"/>
    <x v="0"/>
    <s v="Debit Card"/>
    <n v="4.3"/>
    <n v="120"/>
    <x v="112"/>
  </r>
  <r>
    <n v="114"/>
    <x v="108"/>
    <s v="pr.114"/>
    <x v="4"/>
    <n v="64.33"/>
    <n v="0"/>
    <n v="1"/>
    <x v="2"/>
    <s v="Debit Card"/>
    <n v="3.2"/>
    <n v="91"/>
    <x v="113"/>
  </r>
  <r>
    <n v="115"/>
    <x v="109"/>
    <s v="pr.115"/>
    <x v="4"/>
    <n v="480.63"/>
    <n v="10"/>
    <n v="4"/>
    <x v="3"/>
    <s v="Debit Card"/>
    <n v="4.8"/>
    <n v="176"/>
    <x v="114"/>
  </r>
  <r>
    <n v="116"/>
    <x v="91"/>
    <s v="pr.116"/>
    <x v="5"/>
    <n v="39.979999999999997"/>
    <n v="5"/>
    <n v="2"/>
    <x v="0"/>
    <s v="Credit Card"/>
    <n v="1.6"/>
    <n v="216"/>
    <x v="115"/>
  </r>
  <r>
    <n v="117"/>
    <x v="110"/>
    <s v="pr.117"/>
    <x v="5"/>
    <n v="241.28"/>
    <n v="0"/>
    <n v="1"/>
    <x v="3"/>
    <s v="Credit Card"/>
    <n v="1.1000000000000001"/>
    <n v="456"/>
    <x v="116"/>
  </r>
  <r>
    <n v="118"/>
    <x v="111"/>
    <s v="pr.118"/>
    <x v="4"/>
    <n v="428.24"/>
    <n v="30"/>
    <n v="5"/>
    <x v="3"/>
    <s v="Credit Card"/>
    <n v="4.3"/>
    <n v="110"/>
    <x v="19"/>
  </r>
  <r>
    <n v="119"/>
    <x v="112"/>
    <s v="pr.119"/>
    <x v="2"/>
    <n v="278.83"/>
    <n v="20"/>
    <n v="1"/>
    <x v="2"/>
    <s v="Credit Card"/>
    <n v="4.3"/>
    <n v="172"/>
    <x v="117"/>
  </r>
  <r>
    <n v="120"/>
    <x v="113"/>
    <s v="pr.120"/>
    <x v="5"/>
    <n v="293.81"/>
    <n v="30"/>
    <n v="4"/>
    <x v="0"/>
    <s v="UPI"/>
    <n v="1.5"/>
    <n v="342"/>
    <x v="118"/>
  </r>
  <r>
    <n v="121"/>
    <x v="114"/>
    <s v="pr.121"/>
    <x v="2"/>
    <n v="84.69"/>
    <n v="5"/>
    <n v="3"/>
    <x v="0"/>
    <s v="UPI"/>
    <n v="4.4000000000000004"/>
    <n v="173"/>
    <x v="119"/>
  </r>
  <r>
    <n v="122"/>
    <x v="115"/>
    <s v="pr.122"/>
    <x v="5"/>
    <n v="492.25"/>
    <n v="15"/>
    <n v="2"/>
    <x v="1"/>
    <s v="Cash on Delivery"/>
    <n v="3"/>
    <n v="364"/>
    <x v="120"/>
  </r>
  <r>
    <n v="123"/>
    <x v="116"/>
    <s v="pr.123"/>
    <x v="5"/>
    <n v="119.41"/>
    <n v="20"/>
    <n v="4"/>
    <x v="1"/>
    <s v="Cash on Delivery"/>
    <n v="1.9"/>
    <n v="328"/>
    <x v="121"/>
  </r>
  <r>
    <n v="124"/>
    <x v="117"/>
    <s v="pr.124"/>
    <x v="4"/>
    <n v="430.17"/>
    <n v="15"/>
    <n v="1"/>
    <x v="1"/>
    <s v="Wallet"/>
    <n v="1.2"/>
    <n v="172"/>
    <x v="122"/>
  </r>
  <r>
    <n v="125"/>
    <x v="118"/>
    <s v="pr.125"/>
    <x v="1"/>
    <n v="478.5"/>
    <n v="20"/>
    <n v="4"/>
    <x v="0"/>
    <s v="Credit Card"/>
    <n v="1.8"/>
    <n v="26"/>
    <x v="123"/>
  </r>
  <r>
    <n v="126"/>
    <x v="119"/>
    <s v="pr.126"/>
    <x v="2"/>
    <n v="143.99"/>
    <n v="10"/>
    <n v="4"/>
    <x v="3"/>
    <s v="UPI"/>
    <n v="4.4000000000000004"/>
    <n v="278"/>
    <x v="124"/>
  </r>
  <r>
    <n v="127"/>
    <x v="120"/>
    <s v="pr.127"/>
    <x v="2"/>
    <n v="366.6"/>
    <n v="5"/>
    <n v="3"/>
    <x v="0"/>
    <s v="Cash on Delivery"/>
    <n v="4"/>
    <n v="346"/>
    <x v="125"/>
  </r>
  <r>
    <n v="128"/>
    <x v="121"/>
    <s v="pr.128"/>
    <x v="1"/>
    <n v="44.79"/>
    <n v="0"/>
    <n v="3"/>
    <x v="0"/>
    <s v="Debit Card"/>
    <n v="4.5"/>
    <n v="176"/>
    <x v="126"/>
  </r>
  <r>
    <n v="129"/>
    <x v="122"/>
    <s v="pr.129"/>
    <x v="0"/>
    <n v="372.02"/>
    <n v="15"/>
    <n v="1"/>
    <x v="2"/>
    <s v="Wallet"/>
    <n v="5"/>
    <n v="354"/>
    <x v="127"/>
  </r>
  <r>
    <n v="130"/>
    <x v="123"/>
    <s v="pr.130"/>
    <x v="3"/>
    <n v="244.75"/>
    <n v="15"/>
    <n v="3"/>
    <x v="3"/>
    <s v="Credit Card"/>
    <n v="4.5"/>
    <n v="276"/>
    <x v="128"/>
  </r>
  <r>
    <n v="131"/>
    <x v="78"/>
    <s v="pr.131"/>
    <x v="1"/>
    <n v="63.38"/>
    <n v="15"/>
    <n v="1"/>
    <x v="3"/>
    <s v="Debit Card"/>
    <n v="4.7"/>
    <n v="1"/>
    <x v="129"/>
  </r>
  <r>
    <n v="132"/>
    <x v="124"/>
    <s v="pr.132"/>
    <x v="0"/>
    <n v="447.85"/>
    <n v="10"/>
    <n v="3"/>
    <x v="3"/>
    <s v="Wallet"/>
    <n v="4.7"/>
    <n v="399"/>
    <x v="130"/>
  </r>
  <r>
    <n v="133"/>
    <x v="125"/>
    <s v="pr.133"/>
    <x v="1"/>
    <n v="341.04"/>
    <n v="10"/>
    <n v="4"/>
    <x v="3"/>
    <s v="Credit Card"/>
    <n v="2.2000000000000002"/>
    <n v="203"/>
    <x v="131"/>
  </r>
  <r>
    <n v="134"/>
    <x v="126"/>
    <s v="pr.134"/>
    <x v="4"/>
    <n v="88.45"/>
    <n v="30"/>
    <n v="1"/>
    <x v="1"/>
    <s v="Credit Card"/>
    <n v="2.4"/>
    <n v="397"/>
    <x v="132"/>
  </r>
  <r>
    <n v="135"/>
    <x v="115"/>
    <s v="pr.135"/>
    <x v="0"/>
    <n v="268.74"/>
    <n v="10"/>
    <n v="1"/>
    <x v="3"/>
    <s v="UPI"/>
    <n v="3.4"/>
    <n v="115"/>
    <x v="133"/>
  </r>
  <r>
    <n v="136"/>
    <x v="127"/>
    <s v="pr.136"/>
    <x v="4"/>
    <n v="166.31"/>
    <n v="20"/>
    <n v="1"/>
    <x v="2"/>
    <s v="Cash on Delivery"/>
    <n v="2"/>
    <n v="391"/>
    <x v="134"/>
  </r>
  <r>
    <n v="137"/>
    <x v="128"/>
    <s v="pr.137"/>
    <x v="4"/>
    <n v="356.73"/>
    <n v="30"/>
    <n v="1"/>
    <x v="0"/>
    <s v="Credit Card"/>
    <n v="2"/>
    <n v="25"/>
    <x v="135"/>
  </r>
  <r>
    <n v="138"/>
    <x v="129"/>
    <s v="pr.138"/>
    <x v="0"/>
    <n v="315.58999999999997"/>
    <n v="30"/>
    <n v="2"/>
    <x v="0"/>
    <s v="Wallet"/>
    <n v="3.9"/>
    <n v="311"/>
    <x v="136"/>
  </r>
  <r>
    <n v="139"/>
    <x v="93"/>
    <s v="pr.139"/>
    <x v="2"/>
    <n v="98.82"/>
    <n v="10"/>
    <n v="1"/>
    <x v="2"/>
    <s v="UPI"/>
    <n v="2"/>
    <n v="442"/>
    <x v="137"/>
  </r>
  <r>
    <n v="140"/>
    <x v="130"/>
    <s v="pr.140"/>
    <x v="2"/>
    <n v="124.85"/>
    <n v="30"/>
    <n v="5"/>
    <x v="0"/>
    <s v="Debit Card"/>
    <n v="3.7"/>
    <n v="248"/>
    <x v="138"/>
  </r>
  <r>
    <n v="141"/>
    <x v="131"/>
    <s v="pr.141"/>
    <x v="0"/>
    <n v="353.75"/>
    <n v="30"/>
    <n v="1"/>
    <x v="1"/>
    <s v="Cash on Delivery"/>
    <n v="4.5999999999999996"/>
    <n v="25"/>
    <x v="139"/>
  </r>
  <r>
    <n v="142"/>
    <x v="132"/>
    <s v="pr.142"/>
    <x v="1"/>
    <n v="339.21"/>
    <n v="5"/>
    <n v="3"/>
    <x v="3"/>
    <s v="Wallet"/>
    <n v="1.4"/>
    <n v="330"/>
    <x v="140"/>
  </r>
  <r>
    <n v="143"/>
    <x v="133"/>
    <s v="pr.143"/>
    <x v="1"/>
    <n v="159.56"/>
    <n v="5"/>
    <n v="4"/>
    <x v="0"/>
    <s v="Debit Card"/>
    <n v="3"/>
    <n v="482"/>
    <x v="141"/>
  </r>
  <r>
    <n v="144"/>
    <x v="134"/>
    <s v="pr.144"/>
    <x v="3"/>
    <n v="241.73"/>
    <n v="30"/>
    <n v="3"/>
    <x v="1"/>
    <s v="Wallet"/>
    <n v="3.6"/>
    <n v="364"/>
    <x v="142"/>
  </r>
  <r>
    <n v="145"/>
    <x v="135"/>
    <s v="pr.145"/>
    <x v="1"/>
    <n v="236.26"/>
    <n v="20"/>
    <n v="5"/>
    <x v="1"/>
    <s v="UPI"/>
    <n v="1.5"/>
    <n v="117"/>
    <x v="143"/>
  </r>
  <r>
    <n v="146"/>
    <x v="136"/>
    <s v="pr.146"/>
    <x v="2"/>
    <n v="66.599999999999994"/>
    <n v="15"/>
    <n v="2"/>
    <x v="2"/>
    <s v="UPI"/>
    <n v="1.6"/>
    <n v="390"/>
    <x v="144"/>
  </r>
  <r>
    <n v="147"/>
    <x v="44"/>
    <s v="pr.147"/>
    <x v="0"/>
    <n v="312.42"/>
    <n v="10"/>
    <n v="3"/>
    <x v="3"/>
    <s v="UPI"/>
    <n v="1.4"/>
    <n v="213"/>
    <x v="145"/>
  </r>
  <r>
    <n v="148"/>
    <x v="116"/>
    <s v="pr.148"/>
    <x v="1"/>
    <n v="135.9"/>
    <n v="10"/>
    <n v="4"/>
    <x v="2"/>
    <s v="Debit Card"/>
    <n v="4.4000000000000004"/>
    <n v="302"/>
    <x v="146"/>
  </r>
  <r>
    <n v="149"/>
    <x v="109"/>
    <s v="pr.149"/>
    <x v="0"/>
    <n v="232.65"/>
    <n v="10"/>
    <n v="4"/>
    <x v="3"/>
    <s v="Debit Card"/>
    <n v="1.8"/>
    <n v="125"/>
    <x v="147"/>
  </r>
  <r>
    <n v="150"/>
    <x v="137"/>
    <s v="pr.150"/>
    <x v="3"/>
    <n v="40.520000000000003"/>
    <n v="15"/>
    <n v="4"/>
    <x v="2"/>
    <s v="Credit Card"/>
    <n v="3.3"/>
    <n v="232"/>
    <x v="148"/>
  </r>
  <r>
    <n v="151"/>
    <x v="138"/>
    <s v="pr.151"/>
    <x v="0"/>
    <n v="308.95"/>
    <n v="5"/>
    <n v="5"/>
    <x v="1"/>
    <s v="Credit Card"/>
    <n v="3.5"/>
    <n v="100"/>
    <x v="149"/>
  </r>
  <r>
    <n v="152"/>
    <x v="139"/>
    <s v="pr.152"/>
    <x v="3"/>
    <n v="420.6"/>
    <n v="15"/>
    <n v="1"/>
    <x v="3"/>
    <s v="Debit Card"/>
    <n v="3.5"/>
    <n v="263"/>
    <x v="150"/>
  </r>
  <r>
    <n v="153"/>
    <x v="140"/>
    <s v="pr.153"/>
    <x v="3"/>
    <n v="286.95"/>
    <n v="5"/>
    <n v="2"/>
    <x v="3"/>
    <s v="UPI"/>
    <n v="3.7"/>
    <n v="217"/>
    <x v="151"/>
  </r>
  <r>
    <n v="154"/>
    <x v="141"/>
    <s v="pr.154"/>
    <x v="3"/>
    <n v="300.42"/>
    <n v="15"/>
    <n v="5"/>
    <x v="1"/>
    <s v="Debit Card"/>
    <n v="2.6"/>
    <n v="7"/>
    <x v="152"/>
  </r>
  <r>
    <n v="155"/>
    <x v="142"/>
    <s v="pr.155"/>
    <x v="4"/>
    <n v="338.29"/>
    <n v="20"/>
    <n v="5"/>
    <x v="2"/>
    <s v="Credit Card"/>
    <n v="2"/>
    <n v="291"/>
    <x v="153"/>
  </r>
  <r>
    <n v="156"/>
    <x v="143"/>
    <s v="pr.156"/>
    <x v="2"/>
    <n v="102.19"/>
    <n v="15"/>
    <n v="5"/>
    <x v="0"/>
    <s v="Credit Card"/>
    <n v="1.9"/>
    <n v="435"/>
    <x v="154"/>
  </r>
  <r>
    <n v="157"/>
    <x v="144"/>
    <s v="pr.157"/>
    <x v="5"/>
    <n v="39.049999999999997"/>
    <n v="30"/>
    <n v="4"/>
    <x v="1"/>
    <s v="Credit Card"/>
    <n v="1.4"/>
    <n v="374"/>
    <x v="155"/>
  </r>
  <r>
    <n v="158"/>
    <x v="145"/>
    <s v="pr.158"/>
    <x v="2"/>
    <n v="427.73"/>
    <n v="30"/>
    <n v="3"/>
    <x v="2"/>
    <s v="Cash on Delivery"/>
    <n v="3.2"/>
    <n v="459"/>
    <x v="156"/>
  </r>
  <r>
    <n v="159"/>
    <x v="146"/>
    <s v="pr.159"/>
    <x v="0"/>
    <n v="424.07"/>
    <n v="0"/>
    <n v="2"/>
    <x v="0"/>
    <s v="Wallet"/>
    <n v="3.8"/>
    <n v="383"/>
    <x v="157"/>
  </r>
  <r>
    <n v="160"/>
    <x v="35"/>
    <s v="pr.160"/>
    <x v="2"/>
    <n v="274.60000000000002"/>
    <n v="15"/>
    <n v="2"/>
    <x v="2"/>
    <s v="UPI"/>
    <n v="1.1000000000000001"/>
    <n v="317"/>
    <x v="158"/>
  </r>
  <r>
    <n v="161"/>
    <x v="147"/>
    <s v="pr.161"/>
    <x v="1"/>
    <n v="102.55"/>
    <n v="10"/>
    <n v="4"/>
    <x v="3"/>
    <s v="UPI"/>
    <n v="3.2"/>
    <n v="148"/>
    <x v="159"/>
  </r>
  <r>
    <n v="162"/>
    <x v="117"/>
    <s v="pr.162"/>
    <x v="5"/>
    <n v="409.54"/>
    <n v="5"/>
    <n v="2"/>
    <x v="3"/>
    <s v="Debit Card"/>
    <n v="3.2"/>
    <n v="294"/>
    <x v="160"/>
  </r>
  <r>
    <n v="163"/>
    <x v="148"/>
    <s v="pr.163"/>
    <x v="2"/>
    <n v="114.02"/>
    <n v="15"/>
    <n v="3"/>
    <x v="2"/>
    <s v="Debit Card"/>
    <n v="1.9"/>
    <n v="493"/>
    <x v="161"/>
  </r>
  <r>
    <n v="164"/>
    <x v="110"/>
    <s v="pr.164"/>
    <x v="5"/>
    <n v="431.15"/>
    <n v="5"/>
    <n v="1"/>
    <x v="3"/>
    <s v="Credit Card"/>
    <n v="3.3"/>
    <n v="267"/>
    <x v="162"/>
  </r>
  <r>
    <n v="165"/>
    <x v="149"/>
    <s v="pr.165"/>
    <x v="2"/>
    <n v="214.77"/>
    <n v="0"/>
    <n v="2"/>
    <x v="1"/>
    <s v="Cash on Delivery"/>
    <n v="3.7"/>
    <n v="135"/>
    <x v="163"/>
  </r>
  <r>
    <n v="166"/>
    <x v="73"/>
    <s v="pr.166"/>
    <x v="4"/>
    <n v="33.46"/>
    <n v="30"/>
    <n v="4"/>
    <x v="2"/>
    <s v="UPI"/>
    <n v="4.7"/>
    <n v="8"/>
    <x v="164"/>
  </r>
  <r>
    <n v="167"/>
    <x v="55"/>
    <s v="pr.167"/>
    <x v="0"/>
    <n v="409.35"/>
    <n v="0"/>
    <n v="4"/>
    <x v="3"/>
    <s v="Cash on Delivery"/>
    <n v="2.2999999999999998"/>
    <n v="62"/>
    <x v="165"/>
  </r>
  <r>
    <n v="168"/>
    <x v="11"/>
    <s v="pr.168"/>
    <x v="0"/>
    <n v="282.51"/>
    <n v="0"/>
    <n v="5"/>
    <x v="2"/>
    <s v="UPI"/>
    <n v="2.2999999999999998"/>
    <n v="412"/>
    <x v="166"/>
  </r>
  <r>
    <n v="169"/>
    <x v="150"/>
    <s v="pr.169"/>
    <x v="1"/>
    <n v="162.59"/>
    <n v="15"/>
    <n v="2"/>
    <x v="0"/>
    <s v="Credit Card"/>
    <n v="3"/>
    <n v="252"/>
    <x v="167"/>
  </r>
  <r>
    <n v="170"/>
    <x v="151"/>
    <s v="pr.170"/>
    <x v="4"/>
    <n v="229.2"/>
    <n v="10"/>
    <n v="1"/>
    <x v="2"/>
    <s v="Wallet"/>
    <n v="2.5"/>
    <n v="487"/>
    <x v="168"/>
  </r>
  <r>
    <n v="171"/>
    <x v="152"/>
    <s v="pr.171"/>
    <x v="2"/>
    <n v="443.67"/>
    <n v="0"/>
    <n v="3"/>
    <x v="0"/>
    <s v="UPI"/>
    <n v="1.4"/>
    <n v="40"/>
    <x v="169"/>
  </r>
  <r>
    <n v="172"/>
    <x v="153"/>
    <s v="pr.172"/>
    <x v="2"/>
    <n v="105.56"/>
    <n v="10"/>
    <n v="4"/>
    <x v="3"/>
    <s v="Debit Card"/>
    <n v="2.7"/>
    <n v="390"/>
    <x v="170"/>
  </r>
  <r>
    <n v="173"/>
    <x v="109"/>
    <s v="pr.173"/>
    <x v="2"/>
    <n v="56.38"/>
    <n v="30"/>
    <n v="2"/>
    <x v="0"/>
    <s v="Cash on Delivery"/>
    <n v="3.5"/>
    <n v="460"/>
    <x v="171"/>
  </r>
  <r>
    <n v="174"/>
    <x v="38"/>
    <s v="pr.174"/>
    <x v="2"/>
    <n v="393.47"/>
    <n v="30"/>
    <n v="4"/>
    <x v="1"/>
    <s v="UPI"/>
    <n v="2.4"/>
    <n v="155"/>
    <x v="172"/>
  </r>
  <r>
    <n v="175"/>
    <x v="154"/>
    <s v="pr.175"/>
    <x v="5"/>
    <n v="312.73"/>
    <n v="10"/>
    <n v="4"/>
    <x v="0"/>
    <s v="UPI"/>
    <n v="2.2999999999999998"/>
    <n v="92"/>
    <x v="173"/>
  </r>
  <r>
    <n v="176"/>
    <x v="155"/>
    <s v="pr.176"/>
    <x v="2"/>
    <n v="435.63"/>
    <n v="15"/>
    <n v="3"/>
    <x v="2"/>
    <s v="Wallet"/>
    <n v="5"/>
    <n v="50"/>
    <x v="174"/>
  </r>
  <r>
    <n v="177"/>
    <x v="156"/>
    <s v="pr.177"/>
    <x v="0"/>
    <n v="160.13999999999999"/>
    <n v="0"/>
    <n v="4"/>
    <x v="3"/>
    <s v="Debit Card"/>
    <n v="4.5"/>
    <n v="394"/>
    <x v="175"/>
  </r>
  <r>
    <n v="178"/>
    <x v="157"/>
    <s v="pr.178"/>
    <x v="4"/>
    <n v="282.82"/>
    <n v="0"/>
    <n v="2"/>
    <x v="2"/>
    <s v="Wallet"/>
    <n v="3.8"/>
    <n v="104"/>
    <x v="176"/>
  </r>
  <r>
    <n v="179"/>
    <x v="158"/>
    <s v="pr.179"/>
    <x v="3"/>
    <n v="26"/>
    <n v="5"/>
    <n v="4"/>
    <x v="0"/>
    <s v="Debit Card"/>
    <n v="2.4"/>
    <n v="342"/>
    <x v="177"/>
  </r>
  <r>
    <n v="180"/>
    <x v="159"/>
    <s v="pr.180"/>
    <x v="0"/>
    <n v="424.11"/>
    <n v="15"/>
    <n v="2"/>
    <x v="2"/>
    <s v="Credit Card"/>
    <n v="2.8"/>
    <n v="443"/>
    <x v="178"/>
  </r>
  <r>
    <n v="181"/>
    <x v="160"/>
    <s v="pr.181"/>
    <x v="2"/>
    <n v="99.64"/>
    <n v="30"/>
    <n v="2"/>
    <x v="0"/>
    <s v="Cash on Delivery"/>
    <n v="4.8"/>
    <n v="362"/>
    <x v="179"/>
  </r>
  <r>
    <n v="182"/>
    <x v="161"/>
    <s v="pr.182"/>
    <x v="5"/>
    <n v="61.74"/>
    <n v="10"/>
    <n v="4"/>
    <x v="0"/>
    <s v="Debit Card"/>
    <n v="3.4"/>
    <n v="64"/>
    <x v="180"/>
  </r>
  <r>
    <n v="183"/>
    <x v="162"/>
    <s v="pr.183"/>
    <x v="3"/>
    <n v="244.85"/>
    <n v="30"/>
    <n v="4"/>
    <x v="3"/>
    <s v="Debit Card"/>
    <n v="1.8"/>
    <n v="259"/>
    <x v="181"/>
  </r>
  <r>
    <n v="184"/>
    <x v="77"/>
    <s v="pr.184"/>
    <x v="3"/>
    <n v="373.73"/>
    <n v="0"/>
    <n v="4"/>
    <x v="3"/>
    <s v="Credit Card"/>
    <n v="3.5"/>
    <n v="411"/>
    <x v="182"/>
  </r>
  <r>
    <n v="185"/>
    <x v="163"/>
    <s v="pr.185"/>
    <x v="2"/>
    <n v="108.83"/>
    <n v="15"/>
    <n v="4"/>
    <x v="3"/>
    <s v="Cash on Delivery"/>
    <n v="2.2999999999999998"/>
    <n v="64"/>
    <x v="183"/>
  </r>
  <r>
    <n v="186"/>
    <x v="164"/>
    <s v="pr.186"/>
    <x v="3"/>
    <n v="120.57"/>
    <n v="5"/>
    <n v="2"/>
    <x v="1"/>
    <s v="Wallet"/>
    <n v="1.1000000000000001"/>
    <n v="465"/>
    <x v="184"/>
  </r>
  <r>
    <n v="187"/>
    <x v="165"/>
    <s v="pr.187"/>
    <x v="2"/>
    <n v="161.22"/>
    <n v="5"/>
    <n v="2"/>
    <x v="0"/>
    <s v="Credit Card"/>
    <n v="2.1"/>
    <n v="46"/>
    <x v="185"/>
  </r>
  <r>
    <n v="188"/>
    <x v="166"/>
    <s v="pr.188"/>
    <x v="5"/>
    <n v="406.49"/>
    <n v="10"/>
    <n v="1"/>
    <x v="3"/>
    <s v="Debit Card"/>
    <n v="5"/>
    <n v="299"/>
    <x v="186"/>
  </r>
  <r>
    <n v="189"/>
    <x v="154"/>
    <s v="pr.189"/>
    <x v="4"/>
    <n v="374.94"/>
    <n v="10"/>
    <n v="3"/>
    <x v="3"/>
    <s v="UPI"/>
    <n v="1.5"/>
    <n v="146"/>
    <x v="187"/>
  </r>
  <r>
    <n v="190"/>
    <x v="167"/>
    <s v="pr.190"/>
    <x v="0"/>
    <n v="138.58000000000001"/>
    <n v="0"/>
    <n v="2"/>
    <x v="0"/>
    <s v="Wallet"/>
    <n v="1.5"/>
    <n v="26"/>
    <x v="188"/>
  </r>
  <r>
    <n v="191"/>
    <x v="120"/>
    <s v="pr.191"/>
    <x v="4"/>
    <n v="131.29"/>
    <n v="0"/>
    <n v="2"/>
    <x v="2"/>
    <s v="Credit Card"/>
    <n v="3.7"/>
    <n v="70"/>
    <x v="189"/>
  </r>
  <r>
    <n v="192"/>
    <x v="16"/>
    <s v="pr.192"/>
    <x v="2"/>
    <n v="453.69"/>
    <n v="5"/>
    <n v="4"/>
    <x v="2"/>
    <s v="UPI"/>
    <n v="4.2"/>
    <n v="163"/>
    <x v="190"/>
  </r>
  <r>
    <n v="193"/>
    <x v="168"/>
    <s v="pr.193"/>
    <x v="5"/>
    <n v="309.33"/>
    <n v="0"/>
    <n v="2"/>
    <x v="3"/>
    <s v="UPI"/>
    <n v="3.7"/>
    <n v="136"/>
    <x v="191"/>
  </r>
  <r>
    <n v="194"/>
    <x v="169"/>
    <s v="pr.194"/>
    <x v="1"/>
    <n v="116.37"/>
    <n v="30"/>
    <n v="4"/>
    <x v="2"/>
    <s v="Credit Card"/>
    <n v="2.5"/>
    <n v="140"/>
    <x v="192"/>
  </r>
  <r>
    <n v="195"/>
    <x v="170"/>
    <s v="pr.195"/>
    <x v="2"/>
    <n v="74.489999999999995"/>
    <n v="15"/>
    <n v="1"/>
    <x v="0"/>
    <s v="UPI"/>
    <n v="4.3"/>
    <n v="383"/>
    <x v="193"/>
  </r>
  <r>
    <n v="196"/>
    <x v="98"/>
    <s v="pr.196"/>
    <x v="0"/>
    <n v="37.75"/>
    <n v="10"/>
    <n v="4"/>
    <x v="2"/>
    <s v="UPI"/>
    <n v="2.7"/>
    <n v="303"/>
    <x v="194"/>
  </r>
  <r>
    <n v="197"/>
    <x v="171"/>
    <s v="pr.197"/>
    <x v="0"/>
    <n v="126.94"/>
    <n v="5"/>
    <n v="5"/>
    <x v="0"/>
    <s v="Cash on Delivery"/>
    <n v="2.2000000000000002"/>
    <n v="494"/>
    <x v="195"/>
  </r>
  <r>
    <n v="198"/>
    <x v="172"/>
    <s v="pr.198"/>
    <x v="2"/>
    <n v="361.42"/>
    <n v="0"/>
    <n v="2"/>
    <x v="3"/>
    <s v="Cash on Delivery"/>
    <n v="1.2"/>
    <n v="4"/>
    <x v="196"/>
  </r>
  <r>
    <n v="199"/>
    <x v="173"/>
    <s v="pr.199"/>
    <x v="1"/>
    <n v="188.97"/>
    <n v="30"/>
    <n v="3"/>
    <x v="1"/>
    <s v="Credit Card"/>
    <n v="2.1"/>
    <n v="231"/>
    <x v="197"/>
  </r>
  <r>
    <n v="200"/>
    <x v="174"/>
    <s v="pr.200"/>
    <x v="3"/>
    <n v="482.69"/>
    <n v="15"/>
    <n v="5"/>
    <x v="2"/>
    <s v="UPI"/>
    <n v="4.4000000000000004"/>
    <n v="125"/>
    <x v="198"/>
  </r>
  <r>
    <n v="201"/>
    <x v="175"/>
    <s v="pr.201"/>
    <x v="0"/>
    <n v="165.51"/>
    <n v="0"/>
    <n v="2"/>
    <x v="3"/>
    <s v="Debit Card"/>
    <n v="1.8"/>
    <n v="342"/>
    <x v="199"/>
  </r>
  <r>
    <n v="202"/>
    <x v="135"/>
    <s v="pr.202"/>
    <x v="0"/>
    <n v="79.349999999999994"/>
    <n v="20"/>
    <n v="4"/>
    <x v="3"/>
    <s v="UPI"/>
    <n v="1.4"/>
    <n v="156"/>
    <x v="90"/>
  </r>
  <r>
    <n v="203"/>
    <x v="176"/>
    <s v="pr.203"/>
    <x v="2"/>
    <n v="92.41"/>
    <n v="10"/>
    <n v="4"/>
    <x v="3"/>
    <s v="Debit Card"/>
    <n v="3.9"/>
    <n v="457"/>
    <x v="200"/>
  </r>
  <r>
    <n v="204"/>
    <x v="177"/>
    <s v="pr.204"/>
    <x v="0"/>
    <n v="246.78"/>
    <n v="5"/>
    <n v="4"/>
    <x v="1"/>
    <s v="Cash on Delivery"/>
    <n v="4.3"/>
    <n v="355"/>
    <x v="201"/>
  </r>
  <r>
    <n v="205"/>
    <x v="23"/>
    <s v="pr.205"/>
    <x v="5"/>
    <n v="469.04"/>
    <n v="5"/>
    <n v="5"/>
    <x v="0"/>
    <s v="UPI"/>
    <n v="1.8"/>
    <n v="87"/>
    <x v="202"/>
  </r>
  <r>
    <n v="206"/>
    <x v="178"/>
    <s v="pr.206"/>
    <x v="1"/>
    <n v="450.64"/>
    <n v="5"/>
    <n v="1"/>
    <x v="0"/>
    <s v="Credit Card"/>
    <n v="3.4"/>
    <n v="191"/>
    <x v="203"/>
  </r>
  <r>
    <n v="207"/>
    <x v="173"/>
    <s v="pr.207"/>
    <x v="0"/>
    <n v="95.74"/>
    <n v="5"/>
    <n v="4"/>
    <x v="0"/>
    <s v="Wallet"/>
    <n v="1.1000000000000001"/>
    <n v="76"/>
    <x v="204"/>
  </r>
  <r>
    <n v="208"/>
    <x v="123"/>
    <s v="pr.208"/>
    <x v="2"/>
    <n v="378.47"/>
    <n v="15"/>
    <n v="4"/>
    <x v="1"/>
    <s v="Debit Card"/>
    <n v="3.6"/>
    <n v="349"/>
    <x v="205"/>
  </r>
  <r>
    <n v="209"/>
    <x v="179"/>
    <s v="pr.209"/>
    <x v="1"/>
    <n v="377.43"/>
    <n v="20"/>
    <n v="1"/>
    <x v="3"/>
    <s v="Cash on Delivery"/>
    <n v="1.1000000000000001"/>
    <n v="81"/>
    <x v="206"/>
  </r>
  <r>
    <n v="210"/>
    <x v="63"/>
    <s v="pr.210"/>
    <x v="3"/>
    <n v="86.82"/>
    <n v="10"/>
    <n v="2"/>
    <x v="1"/>
    <s v="UPI"/>
    <n v="1.7"/>
    <n v="53"/>
    <x v="207"/>
  </r>
  <r>
    <n v="211"/>
    <x v="143"/>
    <s v="pr.211"/>
    <x v="0"/>
    <n v="152.61000000000001"/>
    <n v="10"/>
    <n v="1"/>
    <x v="3"/>
    <s v="Cash on Delivery"/>
    <n v="2.2999999999999998"/>
    <n v="381"/>
    <x v="208"/>
  </r>
  <r>
    <n v="212"/>
    <x v="173"/>
    <s v="pr.212"/>
    <x v="4"/>
    <n v="42.64"/>
    <n v="0"/>
    <n v="5"/>
    <x v="3"/>
    <s v="Cash on Delivery"/>
    <n v="3.7"/>
    <n v="374"/>
    <x v="209"/>
  </r>
  <r>
    <n v="213"/>
    <x v="65"/>
    <s v="pr.213"/>
    <x v="2"/>
    <n v="42.06"/>
    <n v="30"/>
    <n v="4"/>
    <x v="1"/>
    <s v="Wallet"/>
    <n v="4.8"/>
    <n v="269"/>
    <x v="210"/>
  </r>
  <r>
    <n v="214"/>
    <x v="180"/>
    <s v="pr.214"/>
    <x v="4"/>
    <n v="223.84"/>
    <n v="0"/>
    <n v="1"/>
    <x v="3"/>
    <s v="Wallet"/>
    <n v="2.5"/>
    <n v="360"/>
    <x v="211"/>
  </r>
  <r>
    <n v="215"/>
    <x v="181"/>
    <s v="pr.215"/>
    <x v="2"/>
    <n v="244.59"/>
    <n v="5"/>
    <n v="4"/>
    <x v="1"/>
    <s v="Credit Card"/>
    <n v="4.0999999999999996"/>
    <n v="169"/>
    <x v="212"/>
  </r>
  <r>
    <n v="216"/>
    <x v="67"/>
    <s v="pr.216"/>
    <x v="4"/>
    <n v="21.21"/>
    <n v="0"/>
    <n v="4"/>
    <x v="0"/>
    <s v="Cash on Delivery"/>
    <n v="2.9"/>
    <n v="220"/>
    <x v="213"/>
  </r>
  <r>
    <n v="217"/>
    <x v="154"/>
    <s v="pr.217"/>
    <x v="4"/>
    <n v="483.28"/>
    <n v="0"/>
    <n v="5"/>
    <x v="1"/>
    <s v="UPI"/>
    <n v="2.4"/>
    <n v="190"/>
    <x v="214"/>
  </r>
  <r>
    <n v="218"/>
    <x v="155"/>
    <s v="pr.218"/>
    <x v="2"/>
    <n v="245.72"/>
    <n v="5"/>
    <n v="2"/>
    <x v="2"/>
    <s v="Wallet"/>
    <n v="3.2"/>
    <n v="122"/>
    <x v="215"/>
  </r>
  <r>
    <n v="219"/>
    <x v="182"/>
    <s v="pr.219"/>
    <x v="5"/>
    <n v="394.98"/>
    <n v="30"/>
    <n v="5"/>
    <x v="1"/>
    <s v="UPI"/>
    <n v="4.7"/>
    <n v="8"/>
    <x v="216"/>
  </r>
  <r>
    <n v="220"/>
    <x v="183"/>
    <s v="pr.220"/>
    <x v="2"/>
    <n v="319.29000000000002"/>
    <n v="5"/>
    <n v="4"/>
    <x v="3"/>
    <s v="Credit Card"/>
    <n v="2.1"/>
    <n v="244"/>
    <x v="217"/>
  </r>
  <r>
    <n v="221"/>
    <x v="184"/>
    <s v="pr.221"/>
    <x v="3"/>
    <n v="311.56"/>
    <n v="30"/>
    <n v="5"/>
    <x v="1"/>
    <s v="Debit Card"/>
    <n v="1.7"/>
    <n v="203"/>
    <x v="218"/>
  </r>
  <r>
    <n v="222"/>
    <x v="86"/>
    <s v="pr.222"/>
    <x v="0"/>
    <n v="155.05000000000001"/>
    <n v="0"/>
    <n v="4"/>
    <x v="3"/>
    <s v="Credit Card"/>
    <n v="3.9"/>
    <n v="69"/>
    <x v="219"/>
  </r>
  <r>
    <n v="223"/>
    <x v="120"/>
    <s v="pr.223"/>
    <x v="3"/>
    <n v="444.12"/>
    <n v="10"/>
    <n v="3"/>
    <x v="2"/>
    <s v="UPI"/>
    <n v="1.2"/>
    <n v="62"/>
    <x v="220"/>
  </r>
  <r>
    <n v="224"/>
    <x v="72"/>
    <s v="pr.224"/>
    <x v="2"/>
    <n v="153.37"/>
    <n v="10"/>
    <n v="1"/>
    <x v="3"/>
    <s v="UPI"/>
    <n v="2.7"/>
    <n v="18"/>
    <x v="221"/>
  </r>
  <r>
    <n v="225"/>
    <x v="169"/>
    <s v="pr.225"/>
    <x v="4"/>
    <n v="476"/>
    <n v="0"/>
    <n v="4"/>
    <x v="3"/>
    <s v="UPI"/>
    <n v="2.4"/>
    <n v="238"/>
    <x v="222"/>
  </r>
  <r>
    <n v="226"/>
    <x v="162"/>
    <s v="pr.226"/>
    <x v="2"/>
    <n v="24.51"/>
    <n v="15"/>
    <n v="5"/>
    <x v="0"/>
    <s v="Credit Card"/>
    <n v="2.1"/>
    <n v="464"/>
    <x v="223"/>
  </r>
  <r>
    <n v="227"/>
    <x v="185"/>
    <s v="pr.227"/>
    <x v="3"/>
    <n v="61.78"/>
    <n v="30"/>
    <n v="2"/>
    <x v="2"/>
    <s v="Wallet"/>
    <n v="3.4"/>
    <n v="18"/>
    <x v="224"/>
  </r>
  <r>
    <n v="228"/>
    <x v="186"/>
    <s v="pr.228"/>
    <x v="3"/>
    <n v="364.65"/>
    <n v="30"/>
    <n v="2"/>
    <x v="1"/>
    <s v="Credit Card"/>
    <n v="2.9"/>
    <n v="77"/>
    <x v="225"/>
  </r>
  <r>
    <n v="229"/>
    <x v="187"/>
    <s v="pr.229"/>
    <x v="5"/>
    <n v="306.31"/>
    <n v="20"/>
    <n v="4"/>
    <x v="0"/>
    <s v="Cash on Delivery"/>
    <n v="3.6"/>
    <n v="93"/>
    <x v="226"/>
  </r>
  <r>
    <n v="230"/>
    <x v="188"/>
    <s v="pr.230"/>
    <x v="2"/>
    <n v="359.95"/>
    <n v="10"/>
    <n v="2"/>
    <x v="2"/>
    <s v="Wallet"/>
    <n v="4.2"/>
    <n v="296"/>
    <x v="227"/>
  </r>
  <r>
    <n v="231"/>
    <x v="189"/>
    <s v="pr.231"/>
    <x v="4"/>
    <n v="322.60000000000002"/>
    <n v="0"/>
    <n v="1"/>
    <x v="0"/>
    <s v="Wallet"/>
    <n v="4.9000000000000004"/>
    <n v="496"/>
    <x v="228"/>
  </r>
  <r>
    <n v="232"/>
    <x v="190"/>
    <s v="pr.232"/>
    <x v="1"/>
    <n v="265.97000000000003"/>
    <n v="30"/>
    <n v="4"/>
    <x v="1"/>
    <s v="Cash on Delivery"/>
    <n v="2"/>
    <n v="307"/>
    <x v="229"/>
  </r>
  <r>
    <n v="233"/>
    <x v="191"/>
    <s v="pr.233"/>
    <x v="3"/>
    <n v="20.440000000000001"/>
    <n v="5"/>
    <n v="1"/>
    <x v="2"/>
    <s v="Wallet"/>
    <n v="4.5999999999999996"/>
    <n v="127"/>
    <x v="230"/>
  </r>
  <r>
    <n v="234"/>
    <x v="192"/>
    <s v="pr.234"/>
    <x v="2"/>
    <n v="405.41"/>
    <n v="20"/>
    <n v="4"/>
    <x v="0"/>
    <s v="UPI"/>
    <n v="4"/>
    <n v="250"/>
    <x v="231"/>
  </r>
  <r>
    <n v="235"/>
    <x v="193"/>
    <s v="pr.235"/>
    <x v="3"/>
    <n v="257.52"/>
    <n v="10"/>
    <n v="1"/>
    <x v="3"/>
    <s v="UPI"/>
    <n v="1.8"/>
    <n v="245"/>
    <x v="232"/>
  </r>
  <r>
    <n v="236"/>
    <x v="194"/>
    <s v="pr.236"/>
    <x v="4"/>
    <n v="57.38"/>
    <n v="15"/>
    <n v="4"/>
    <x v="3"/>
    <s v="Cash on Delivery"/>
    <n v="1.7"/>
    <n v="17"/>
    <x v="233"/>
  </r>
  <r>
    <n v="237"/>
    <x v="195"/>
    <s v="pr.237"/>
    <x v="5"/>
    <n v="100.28"/>
    <n v="20"/>
    <n v="4"/>
    <x v="0"/>
    <s v="UPI"/>
    <n v="3.2"/>
    <n v="115"/>
    <x v="234"/>
  </r>
  <r>
    <n v="238"/>
    <x v="34"/>
    <s v="pr.238"/>
    <x v="2"/>
    <n v="332.69"/>
    <n v="0"/>
    <n v="2"/>
    <x v="1"/>
    <s v="Cash on Delivery"/>
    <n v="4.2"/>
    <n v="408"/>
    <x v="235"/>
  </r>
  <r>
    <n v="239"/>
    <x v="196"/>
    <s v="pr.239"/>
    <x v="0"/>
    <n v="43.12"/>
    <n v="15"/>
    <n v="1"/>
    <x v="1"/>
    <s v="Cash on Delivery"/>
    <n v="3.1"/>
    <n v="359"/>
    <x v="236"/>
  </r>
  <r>
    <n v="240"/>
    <x v="197"/>
    <s v="pr.240"/>
    <x v="4"/>
    <n v="435.39"/>
    <n v="15"/>
    <n v="4"/>
    <x v="0"/>
    <s v="Debit Card"/>
    <n v="2.5"/>
    <n v="357"/>
    <x v="237"/>
  </r>
  <r>
    <n v="241"/>
    <x v="112"/>
    <s v="pr.241"/>
    <x v="2"/>
    <n v="396.41"/>
    <n v="20"/>
    <n v="5"/>
    <x v="1"/>
    <s v="UPI"/>
    <n v="5"/>
    <n v="54"/>
    <x v="238"/>
  </r>
  <r>
    <n v="242"/>
    <x v="198"/>
    <s v="pr.242"/>
    <x v="0"/>
    <n v="156.63"/>
    <n v="10"/>
    <n v="2"/>
    <x v="2"/>
    <s v="Cash on Delivery"/>
    <n v="1.8"/>
    <n v="364"/>
    <x v="239"/>
  </r>
  <r>
    <n v="243"/>
    <x v="199"/>
    <s v="pr.243"/>
    <x v="1"/>
    <n v="442.34"/>
    <n v="30"/>
    <n v="4"/>
    <x v="2"/>
    <s v="Debit Card"/>
    <n v="3.7"/>
    <n v="106"/>
    <x v="240"/>
  </r>
  <r>
    <n v="244"/>
    <x v="200"/>
    <s v="pr.244"/>
    <x v="0"/>
    <n v="443.16"/>
    <n v="5"/>
    <n v="4"/>
    <x v="1"/>
    <s v="UPI"/>
    <n v="3.3"/>
    <n v="128"/>
    <x v="241"/>
  </r>
  <r>
    <n v="245"/>
    <x v="201"/>
    <s v="pr.245"/>
    <x v="3"/>
    <n v="419.73"/>
    <n v="0"/>
    <n v="1"/>
    <x v="3"/>
    <s v="UPI"/>
    <n v="2.4"/>
    <n v="383"/>
    <x v="242"/>
  </r>
  <r>
    <n v="246"/>
    <x v="202"/>
    <s v="pr.246"/>
    <x v="5"/>
    <n v="157.29"/>
    <n v="5"/>
    <n v="2"/>
    <x v="3"/>
    <s v="UPI"/>
    <n v="3.5"/>
    <n v="113"/>
    <x v="243"/>
  </r>
  <r>
    <n v="247"/>
    <x v="203"/>
    <s v="pr.247"/>
    <x v="2"/>
    <n v="329.65"/>
    <n v="0"/>
    <n v="2"/>
    <x v="3"/>
    <s v="Credit Card"/>
    <n v="3.6"/>
    <n v="354"/>
    <x v="244"/>
  </r>
  <r>
    <n v="248"/>
    <x v="182"/>
    <s v="pr.248"/>
    <x v="2"/>
    <n v="228.45"/>
    <n v="30"/>
    <n v="5"/>
    <x v="0"/>
    <s v="Wallet"/>
    <n v="4.9000000000000004"/>
    <n v="49"/>
    <x v="245"/>
  </r>
  <r>
    <n v="249"/>
    <x v="53"/>
    <s v="pr.249"/>
    <x v="1"/>
    <n v="271.75"/>
    <n v="15"/>
    <n v="1"/>
    <x v="3"/>
    <s v="UPI"/>
    <n v="3.7"/>
    <n v="75"/>
    <x v="246"/>
  </r>
  <r>
    <n v="250"/>
    <x v="34"/>
    <s v="pr.250"/>
    <x v="5"/>
    <n v="207.8"/>
    <n v="15"/>
    <n v="3"/>
    <x v="1"/>
    <s v="UPI"/>
    <n v="1.7"/>
    <n v="169"/>
    <x v="247"/>
  </r>
  <r>
    <n v="251"/>
    <x v="204"/>
    <s v="pr.251"/>
    <x v="2"/>
    <n v="6.97"/>
    <n v="0"/>
    <n v="1"/>
    <x v="3"/>
    <s v="Wallet"/>
    <n v="1.7"/>
    <n v="375"/>
    <x v="248"/>
  </r>
  <r>
    <n v="252"/>
    <x v="205"/>
    <s v="pr.252"/>
    <x v="5"/>
    <n v="9.94"/>
    <n v="15"/>
    <n v="1"/>
    <x v="3"/>
    <s v="Credit Card"/>
    <n v="2.9"/>
    <n v="107"/>
    <x v="249"/>
  </r>
  <r>
    <n v="253"/>
    <x v="206"/>
    <s v="pr.253"/>
    <x v="2"/>
    <n v="387.56"/>
    <n v="20"/>
    <n v="3"/>
    <x v="0"/>
    <s v="Credit Card"/>
    <n v="1.5"/>
    <n v="472"/>
    <x v="250"/>
  </r>
  <r>
    <n v="254"/>
    <x v="207"/>
    <s v="pr.254"/>
    <x v="0"/>
    <n v="473.46"/>
    <n v="20"/>
    <n v="5"/>
    <x v="0"/>
    <s v="UPI"/>
    <n v="2.4"/>
    <n v="290"/>
    <x v="251"/>
  </r>
  <r>
    <n v="255"/>
    <x v="150"/>
    <s v="pr.255"/>
    <x v="2"/>
    <n v="118.65"/>
    <n v="30"/>
    <n v="4"/>
    <x v="3"/>
    <s v="Cash on Delivery"/>
    <n v="4.7"/>
    <n v="110"/>
    <x v="252"/>
  </r>
  <r>
    <n v="256"/>
    <x v="208"/>
    <s v="pr.256"/>
    <x v="5"/>
    <n v="274.44"/>
    <n v="5"/>
    <n v="2"/>
    <x v="3"/>
    <s v="Cash on Delivery"/>
    <n v="1.4"/>
    <n v="258"/>
    <x v="253"/>
  </r>
  <r>
    <n v="257"/>
    <x v="85"/>
    <s v="pr.257"/>
    <x v="1"/>
    <n v="156.49"/>
    <n v="10"/>
    <n v="5"/>
    <x v="2"/>
    <s v="Credit Card"/>
    <n v="3.2"/>
    <n v="438"/>
    <x v="254"/>
  </r>
  <r>
    <n v="258"/>
    <x v="209"/>
    <s v="pr.258"/>
    <x v="5"/>
    <n v="241.38"/>
    <n v="10"/>
    <n v="1"/>
    <x v="3"/>
    <s v="UPI"/>
    <n v="3.6"/>
    <n v="418"/>
    <x v="255"/>
  </r>
  <r>
    <n v="259"/>
    <x v="153"/>
    <s v="pr.259"/>
    <x v="1"/>
    <n v="63.48"/>
    <n v="5"/>
    <n v="5"/>
    <x v="1"/>
    <s v="Wallet"/>
    <n v="3.3"/>
    <n v="409"/>
    <x v="256"/>
  </r>
  <r>
    <n v="260"/>
    <x v="210"/>
    <s v="pr.260"/>
    <x v="3"/>
    <n v="364.08"/>
    <n v="5"/>
    <n v="5"/>
    <x v="0"/>
    <s v="Credit Card"/>
    <n v="3.5"/>
    <n v="226"/>
    <x v="257"/>
  </r>
  <r>
    <n v="261"/>
    <x v="211"/>
    <s v="pr.261"/>
    <x v="2"/>
    <n v="260.55"/>
    <n v="20"/>
    <n v="2"/>
    <x v="1"/>
    <s v="Debit Card"/>
    <n v="1.5"/>
    <n v="174"/>
    <x v="258"/>
  </r>
  <r>
    <n v="262"/>
    <x v="212"/>
    <s v="pr.262"/>
    <x v="3"/>
    <n v="157.82"/>
    <n v="0"/>
    <n v="5"/>
    <x v="0"/>
    <s v="Debit Card"/>
    <n v="1.1000000000000001"/>
    <n v="109"/>
    <x v="259"/>
  </r>
  <r>
    <n v="263"/>
    <x v="213"/>
    <s v="pr.263"/>
    <x v="0"/>
    <n v="333.47"/>
    <n v="20"/>
    <n v="5"/>
    <x v="1"/>
    <s v="Debit Card"/>
    <n v="4.0999999999999996"/>
    <n v="123"/>
    <x v="260"/>
  </r>
  <r>
    <n v="264"/>
    <x v="214"/>
    <s v="pr.264"/>
    <x v="4"/>
    <n v="258.07"/>
    <n v="10"/>
    <n v="2"/>
    <x v="1"/>
    <s v="Credit Card"/>
    <n v="2.2999999999999998"/>
    <n v="237"/>
    <x v="261"/>
  </r>
  <r>
    <n v="265"/>
    <x v="196"/>
    <s v="pr.265"/>
    <x v="2"/>
    <n v="205.12"/>
    <n v="10"/>
    <n v="4"/>
    <x v="3"/>
    <s v="Wallet"/>
    <n v="2.8"/>
    <n v="305"/>
    <x v="262"/>
  </r>
  <r>
    <n v="266"/>
    <x v="53"/>
    <s v="pr.266"/>
    <x v="3"/>
    <n v="268.93"/>
    <n v="5"/>
    <n v="1"/>
    <x v="3"/>
    <s v="Debit Card"/>
    <n v="4.5999999999999996"/>
    <n v="457"/>
    <x v="263"/>
  </r>
  <r>
    <n v="267"/>
    <x v="215"/>
    <s v="pr.267"/>
    <x v="2"/>
    <n v="477.07"/>
    <n v="20"/>
    <n v="2"/>
    <x v="2"/>
    <s v="Wallet"/>
    <n v="4.4000000000000004"/>
    <n v="345"/>
    <x v="264"/>
  </r>
  <r>
    <n v="268"/>
    <x v="216"/>
    <s v="pr.268"/>
    <x v="4"/>
    <n v="39.29"/>
    <n v="5"/>
    <n v="2"/>
    <x v="1"/>
    <s v="Cash on Delivery"/>
    <n v="3.6"/>
    <n v="60"/>
    <x v="265"/>
  </r>
  <r>
    <n v="269"/>
    <x v="65"/>
    <s v="pr.269"/>
    <x v="1"/>
    <n v="462.37"/>
    <n v="20"/>
    <n v="1"/>
    <x v="0"/>
    <s v="UPI"/>
    <n v="2.5"/>
    <n v="444"/>
    <x v="266"/>
  </r>
  <r>
    <n v="270"/>
    <x v="217"/>
    <s v="pr.270"/>
    <x v="2"/>
    <n v="67.53"/>
    <n v="15"/>
    <n v="5"/>
    <x v="3"/>
    <s v="Wallet"/>
    <n v="2.2999999999999998"/>
    <n v="139"/>
    <x v="267"/>
  </r>
  <r>
    <n v="271"/>
    <x v="218"/>
    <s v="pr.271"/>
    <x v="4"/>
    <n v="107.15"/>
    <n v="20"/>
    <n v="4"/>
    <x v="1"/>
    <s v="Debit Card"/>
    <n v="3"/>
    <n v="432"/>
    <x v="268"/>
  </r>
  <r>
    <n v="272"/>
    <x v="219"/>
    <s v="pr.272"/>
    <x v="5"/>
    <n v="489.69"/>
    <n v="15"/>
    <n v="3"/>
    <x v="1"/>
    <s v="Credit Card"/>
    <n v="1.5"/>
    <n v="86"/>
    <x v="269"/>
  </r>
  <r>
    <n v="273"/>
    <x v="220"/>
    <s v="pr.273"/>
    <x v="1"/>
    <n v="405.97"/>
    <n v="30"/>
    <n v="3"/>
    <x v="0"/>
    <s v="Credit Card"/>
    <n v="3.4"/>
    <n v="97"/>
    <x v="270"/>
  </r>
  <r>
    <n v="274"/>
    <x v="221"/>
    <s v="pr.274"/>
    <x v="5"/>
    <n v="179.1"/>
    <n v="20"/>
    <n v="5"/>
    <x v="0"/>
    <s v="Debit Card"/>
    <n v="4.4000000000000004"/>
    <n v="464"/>
    <x v="271"/>
  </r>
  <r>
    <n v="275"/>
    <x v="142"/>
    <s v="pr.275"/>
    <x v="4"/>
    <n v="205.34"/>
    <n v="0"/>
    <n v="4"/>
    <x v="3"/>
    <s v="Cash on Delivery"/>
    <n v="4.2"/>
    <n v="299"/>
    <x v="272"/>
  </r>
  <r>
    <n v="276"/>
    <x v="222"/>
    <s v="pr.276"/>
    <x v="5"/>
    <n v="153.06"/>
    <n v="10"/>
    <n v="1"/>
    <x v="3"/>
    <s v="Debit Card"/>
    <n v="3.1"/>
    <n v="252"/>
    <x v="273"/>
  </r>
  <r>
    <n v="277"/>
    <x v="171"/>
    <s v="pr.277"/>
    <x v="1"/>
    <n v="116.46"/>
    <n v="5"/>
    <n v="5"/>
    <x v="1"/>
    <s v="Credit Card"/>
    <n v="3.5"/>
    <n v="173"/>
    <x v="274"/>
  </r>
  <r>
    <n v="278"/>
    <x v="119"/>
    <s v="pr.278"/>
    <x v="2"/>
    <n v="35.130000000000003"/>
    <n v="0"/>
    <n v="3"/>
    <x v="1"/>
    <s v="Debit Card"/>
    <n v="2.1"/>
    <n v="484"/>
    <x v="275"/>
  </r>
  <r>
    <n v="279"/>
    <x v="223"/>
    <s v="pr.279"/>
    <x v="5"/>
    <n v="21.67"/>
    <n v="10"/>
    <n v="5"/>
    <x v="1"/>
    <s v="Debit Card"/>
    <n v="4.2"/>
    <n v="460"/>
    <x v="276"/>
  </r>
  <r>
    <n v="280"/>
    <x v="224"/>
    <s v="pr.280"/>
    <x v="4"/>
    <n v="253.29"/>
    <n v="15"/>
    <n v="1"/>
    <x v="0"/>
    <s v="UPI"/>
    <n v="1.8"/>
    <n v="268"/>
    <x v="277"/>
  </r>
  <r>
    <n v="281"/>
    <x v="17"/>
    <s v="pr.281"/>
    <x v="5"/>
    <n v="267.39999999999998"/>
    <n v="5"/>
    <n v="5"/>
    <x v="1"/>
    <s v="UPI"/>
    <n v="4.0999999999999996"/>
    <n v="76"/>
    <x v="278"/>
  </r>
  <r>
    <n v="282"/>
    <x v="225"/>
    <s v="pr.282"/>
    <x v="5"/>
    <n v="381.97"/>
    <n v="10"/>
    <n v="5"/>
    <x v="0"/>
    <s v="Cash on Delivery"/>
    <n v="2.9"/>
    <n v="202"/>
    <x v="279"/>
  </r>
  <r>
    <n v="283"/>
    <x v="226"/>
    <s v="pr.283"/>
    <x v="0"/>
    <n v="52.09"/>
    <n v="5"/>
    <n v="1"/>
    <x v="3"/>
    <s v="Debit Card"/>
    <n v="3.1"/>
    <n v="112"/>
    <x v="280"/>
  </r>
  <r>
    <n v="284"/>
    <x v="227"/>
    <s v="pr.284"/>
    <x v="1"/>
    <n v="259.77999999999997"/>
    <n v="0"/>
    <n v="2"/>
    <x v="0"/>
    <s v="Debit Card"/>
    <n v="4.0999999999999996"/>
    <n v="127"/>
    <x v="281"/>
  </r>
  <r>
    <n v="285"/>
    <x v="228"/>
    <s v="pr.285"/>
    <x v="0"/>
    <n v="462.61"/>
    <n v="30"/>
    <n v="1"/>
    <x v="0"/>
    <s v="UPI"/>
    <n v="4.2"/>
    <n v="229"/>
    <x v="282"/>
  </r>
  <r>
    <n v="286"/>
    <x v="229"/>
    <s v="pr.286"/>
    <x v="4"/>
    <n v="427.07"/>
    <n v="10"/>
    <n v="4"/>
    <x v="2"/>
    <s v="UPI"/>
    <n v="2.7"/>
    <n v="328"/>
    <x v="283"/>
  </r>
  <r>
    <n v="287"/>
    <x v="159"/>
    <s v="pr.287"/>
    <x v="3"/>
    <n v="269.61"/>
    <n v="5"/>
    <n v="5"/>
    <x v="0"/>
    <s v="Credit Card"/>
    <n v="4.5999999999999996"/>
    <n v="18"/>
    <x v="284"/>
  </r>
  <r>
    <n v="288"/>
    <x v="230"/>
    <s v="pr.288"/>
    <x v="4"/>
    <n v="71.150000000000006"/>
    <n v="15"/>
    <n v="2"/>
    <x v="2"/>
    <s v="Wallet"/>
    <n v="3.2"/>
    <n v="291"/>
    <x v="285"/>
  </r>
  <r>
    <n v="289"/>
    <x v="179"/>
    <s v="pr.289"/>
    <x v="4"/>
    <n v="82.25"/>
    <n v="15"/>
    <n v="1"/>
    <x v="3"/>
    <s v="Debit Card"/>
    <n v="4.4000000000000004"/>
    <n v="141"/>
    <x v="286"/>
  </r>
  <r>
    <n v="290"/>
    <x v="231"/>
    <s v="pr.290"/>
    <x v="4"/>
    <n v="241.28"/>
    <n v="20"/>
    <n v="3"/>
    <x v="0"/>
    <s v="UPI"/>
    <n v="1.6"/>
    <n v="52"/>
    <x v="287"/>
  </r>
  <r>
    <n v="291"/>
    <x v="232"/>
    <s v="pr.291"/>
    <x v="4"/>
    <n v="310.58999999999997"/>
    <n v="20"/>
    <n v="4"/>
    <x v="1"/>
    <s v="Debit Card"/>
    <n v="1.9"/>
    <n v="127"/>
    <x v="288"/>
  </r>
  <r>
    <n v="292"/>
    <x v="233"/>
    <s v="pr.292"/>
    <x v="0"/>
    <n v="489.42"/>
    <n v="5"/>
    <n v="5"/>
    <x v="1"/>
    <s v="Debit Card"/>
    <n v="2.2000000000000002"/>
    <n v="494"/>
    <x v="289"/>
  </r>
  <r>
    <n v="293"/>
    <x v="218"/>
    <s v="pr.293"/>
    <x v="4"/>
    <n v="416.49"/>
    <n v="15"/>
    <n v="2"/>
    <x v="2"/>
    <s v="Wallet"/>
    <n v="3.6"/>
    <n v="460"/>
    <x v="290"/>
  </r>
  <r>
    <n v="294"/>
    <x v="234"/>
    <s v="pr.294"/>
    <x v="5"/>
    <n v="210.11"/>
    <n v="10"/>
    <n v="4"/>
    <x v="2"/>
    <s v="Debit Card"/>
    <n v="1"/>
    <n v="369"/>
    <x v="291"/>
  </r>
  <r>
    <n v="295"/>
    <x v="235"/>
    <s v="pr.295"/>
    <x v="4"/>
    <n v="178.33"/>
    <n v="30"/>
    <n v="5"/>
    <x v="3"/>
    <s v="UPI"/>
    <n v="2.6"/>
    <n v="456"/>
    <x v="292"/>
  </r>
  <r>
    <n v="296"/>
    <x v="177"/>
    <s v="pr.296"/>
    <x v="3"/>
    <n v="11.68"/>
    <n v="10"/>
    <n v="4"/>
    <x v="0"/>
    <s v="Wallet"/>
    <n v="1.1000000000000001"/>
    <n v="384"/>
    <x v="293"/>
  </r>
  <r>
    <n v="297"/>
    <x v="153"/>
    <s v="pr.297"/>
    <x v="1"/>
    <n v="8.82"/>
    <n v="0"/>
    <n v="4"/>
    <x v="2"/>
    <s v="Cash on Delivery"/>
    <n v="2.6"/>
    <n v="48"/>
    <x v="294"/>
  </r>
  <r>
    <n v="298"/>
    <x v="119"/>
    <s v="pr.298"/>
    <x v="0"/>
    <n v="239.85"/>
    <n v="20"/>
    <n v="1"/>
    <x v="0"/>
    <s v="Wallet"/>
    <n v="2.4"/>
    <n v="193"/>
    <x v="295"/>
  </r>
  <r>
    <n v="299"/>
    <x v="236"/>
    <s v="pr.299"/>
    <x v="0"/>
    <n v="39.299999999999997"/>
    <n v="15"/>
    <n v="1"/>
    <x v="3"/>
    <s v="Wallet"/>
    <n v="1.6"/>
    <n v="183"/>
    <x v="296"/>
  </r>
  <r>
    <n v="300"/>
    <x v="85"/>
    <s v="pr.300"/>
    <x v="0"/>
    <n v="82.4"/>
    <n v="0"/>
    <n v="1"/>
    <x v="1"/>
    <s v="Cash on Delivery"/>
    <n v="3.5"/>
    <n v="437"/>
    <x v="297"/>
  </r>
  <r>
    <n v="301"/>
    <x v="237"/>
    <s v="pr.301"/>
    <x v="0"/>
    <n v="490.29"/>
    <n v="5"/>
    <n v="5"/>
    <x v="3"/>
    <s v="UPI"/>
    <n v="1.9"/>
    <n v="429"/>
    <x v="298"/>
  </r>
  <r>
    <n v="302"/>
    <x v="238"/>
    <s v="pr.302"/>
    <x v="4"/>
    <n v="360.04"/>
    <n v="20"/>
    <n v="1"/>
    <x v="3"/>
    <s v="Debit Card"/>
    <n v="1.8"/>
    <n v="389"/>
    <x v="299"/>
  </r>
  <r>
    <n v="303"/>
    <x v="84"/>
    <s v="pr.303"/>
    <x v="3"/>
    <n v="228.86"/>
    <n v="15"/>
    <n v="4"/>
    <x v="3"/>
    <s v="Credit Card"/>
    <n v="4.4000000000000004"/>
    <n v="61"/>
    <x v="300"/>
  </r>
  <r>
    <n v="304"/>
    <x v="239"/>
    <s v="pr.304"/>
    <x v="2"/>
    <n v="429.65"/>
    <n v="15"/>
    <n v="4"/>
    <x v="1"/>
    <s v="Debit Card"/>
    <n v="4.5"/>
    <n v="66"/>
    <x v="301"/>
  </r>
  <r>
    <n v="305"/>
    <x v="26"/>
    <s v="pr.305"/>
    <x v="4"/>
    <n v="92.82"/>
    <n v="5"/>
    <n v="5"/>
    <x v="2"/>
    <s v="Debit Card"/>
    <n v="2.9"/>
    <n v="477"/>
    <x v="302"/>
  </r>
  <r>
    <n v="306"/>
    <x v="240"/>
    <s v="pr.306"/>
    <x v="1"/>
    <n v="197.71"/>
    <n v="15"/>
    <n v="5"/>
    <x v="3"/>
    <s v="Debit Card"/>
    <n v="1.3"/>
    <n v="210"/>
    <x v="303"/>
  </r>
  <r>
    <n v="307"/>
    <x v="127"/>
    <s v="pr.307"/>
    <x v="1"/>
    <n v="150.9"/>
    <n v="0"/>
    <n v="3"/>
    <x v="0"/>
    <s v="Credit Card"/>
    <n v="3"/>
    <n v="168"/>
    <x v="304"/>
  </r>
  <r>
    <n v="308"/>
    <x v="25"/>
    <s v="pr.308"/>
    <x v="4"/>
    <n v="497.75"/>
    <n v="20"/>
    <n v="1"/>
    <x v="2"/>
    <s v="Debit Card"/>
    <n v="2.7"/>
    <n v="192"/>
    <x v="305"/>
  </r>
  <r>
    <n v="309"/>
    <x v="241"/>
    <s v="pr.309"/>
    <x v="4"/>
    <n v="451.05"/>
    <n v="0"/>
    <n v="3"/>
    <x v="2"/>
    <s v="Credit Card"/>
    <n v="4.0999999999999996"/>
    <n v="364"/>
    <x v="306"/>
  </r>
  <r>
    <n v="310"/>
    <x v="103"/>
    <s v="pr.310"/>
    <x v="4"/>
    <n v="265.41000000000003"/>
    <n v="30"/>
    <n v="5"/>
    <x v="2"/>
    <s v="Debit Card"/>
    <n v="1.7"/>
    <n v="321"/>
    <x v="307"/>
  </r>
  <r>
    <n v="311"/>
    <x v="111"/>
    <s v="pr.311"/>
    <x v="3"/>
    <n v="214.9"/>
    <n v="10"/>
    <n v="5"/>
    <x v="2"/>
    <s v="UPI"/>
    <n v="1.4"/>
    <n v="484"/>
    <x v="308"/>
  </r>
  <r>
    <n v="312"/>
    <x v="242"/>
    <s v="pr.312"/>
    <x v="0"/>
    <n v="499.06"/>
    <n v="15"/>
    <n v="1"/>
    <x v="2"/>
    <s v="Debit Card"/>
    <n v="2"/>
    <n v="405"/>
    <x v="309"/>
  </r>
  <r>
    <n v="313"/>
    <x v="191"/>
    <s v="pr.313"/>
    <x v="1"/>
    <n v="107.13"/>
    <n v="15"/>
    <n v="3"/>
    <x v="3"/>
    <s v="Credit Card"/>
    <n v="1.7"/>
    <n v="66"/>
    <x v="310"/>
  </r>
  <r>
    <n v="314"/>
    <x v="150"/>
    <s v="pr.314"/>
    <x v="1"/>
    <n v="206.9"/>
    <n v="15"/>
    <n v="2"/>
    <x v="1"/>
    <s v="UPI"/>
    <n v="4.4000000000000004"/>
    <n v="120"/>
    <x v="311"/>
  </r>
  <r>
    <n v="315"/>
    <x v="113"/>
    <s v="pr.315"/>
    <x v="0"/>
    <n v="357.33"/>
    <n v="5"/>
    <n v="1"/>
    <x v="0"/>
    <s v="Wallet"/>
    <n v="2.1"/>
    <n v="449"/>
    <x v="312"/>
  </r>
  <r>
    <n v="316"/>
    <x v="243"/>
    <s v="pr.316"/>
    <x v="2"/>
    <n v="353.4"/>
    <n v="10"/>
    <n v="2"/>
    <x v="0"/>
    <s v="Debit Card"/>
    <n v="3.7"/>
    <n v="285"/>
    <x v="313"/>
  </r>
  <r>
    <n v="317"/>
    <x v="27"/>
    <s v="pr.317"/>
    <x v="0"/>
    <n v="289.25"/>
    <n v="10"/>
    <n v="1"/>
    <x v="1"/>
    <s v="Cash on Delivery"/>
    <n v="1.5"/>
    <n v="184"/>
    <x v="314"/>
  </r>
  <r>
    <n v="318"/>
    <x v="244"/>
    <s v="pr.318"/>
    <x v="1"/>
    <n v="476.19"/>
    <n v="0"/>
    <n v="4"/>
    <x v="0"/>
    <s v="Credit Card"/>
    <n v="4.3"/>
    <n v="70"/>
    <x v="315"/>
  </r>
  <r>
    <n v="319"/>
    <x v="245"/>
    <s v="pr.319"/>
    <x v="1"/>
    <n v="127.15"/>
    <n v="15"/>
    <n v="4"/>
    <x v="3"/>
    <s v="Wallet"/>
    <n v="2.8"/>
    <n v="484"/>
    <x v="316"/>
  </r>
  <r>
    <n v="320"/>
    <x v="29"/>
    <s v="pr.320"/>
    <x v="3"/>
    <n v="286.47000000000003"/>
    <n v="5"/>
    <n v="2"/>
    <x v="2"/>
    <s v="Wallet"/>
    <n v="4.4000000000000004"/>
    <n v="377"/>
    <x v="317"/>
  </r>
  <r>
    <n v="321"/>
    <x v="246"/>
    <s v="pr.321"/>
    <x v="1"/>
    <n v="406.19"/>
    <n v="0"/>
    <n v="5"/>
    <x v="0"/>
    <s v="Cash on Delivery"/>
    <n v="2.1"/>
    <n v="402"/>
    <x v="318"/>
  </r>
  <r>
    <n v="322"/>
    <x v="247"/>
    <s v="pr.322"/>
    <x v="4"/>
    <n v="120.07"/>
    <n v="15"/>
    <n v="3"/>
    <x v="1"/>
    <s v="UPI"/>
    <n v="3.2"/>
    <n v="64"/>
    <x v="319"/>
  </r>
  <r>
    <n v="323"/>
    <x v="248"/>
    <s v="pr.323"/>
    <x v="4"/>
    <n v="436.22"/>
    <n v="30"/>
    <n v="1"/>
    <x v="1"/>
    <s v="Wallet"/>
    <n v="3.5"/>
    <n v="160"/>
    <x v="320"/>
  </r>
  <r>
    <n v="324"/>
    <x v="249"/>
    <s v="pr.324"/>
    <x v="0"/>
    <n v="321.37"/>
    <n v="10"/>
    <n v="4"/>
    <x v="3"/>
    <s v="Wallet"/>
    <n v="3"/>
    <n v="365"/>
    <x v="321"/>
  </r>
  <r>
    <n v="325"/>
    <x v="40"/>
    <s v="pr.325"/>
    <x v="0"/>
    <n v="193.63"/>
    <n v="30"/>
    <n v="1"/>
    <x v="1"/>
    <s v="Debit Card"/>
    <n v="2"/>
    <n v="250"/>
    <x v="322"/>
  </r>
  <r>
    <n v="326"/>
    <x v="250"/>
    <s v="pr.326"/>
    <x v="4"/>
    <n v="325.61"/>
    <n v="15"/>
    <n v="4"/>
    <x v="2"/>
    <s v="Credit Card"/>
    <n v="4.0999999999999996"/>
    <n v="114"/>
    <x v="323"/>
  </r>
  <r>
    <n v="327"/>
    <x v="157"/>
    <s v="pr.327"/>
    <x v="0"/>
    <n v="464.39"/>
    <n v="15"/>
    <n v="4"/>
    <x v="1"/>
    <s v="Credit Card"/>
    <n v="1.3"/>
    <n v="156"/>
    <x v="324"/>
  </r>
  <r>
    <n v="328"/>
    <x v="251"/>
    <s v="pr.328"/>
    <x v="4"/>
    <n v="494.15"/>
    <n v="30"/>
    <n v="5"/>
    <x v="0"/>
    <s v="Credit Card"/>
    <n v="1.6"/>
    <n v="327"/>
    <x v="325"/>
  </r>
  <r>
    <n v="329"/>
    <x v="252"/>
    <s v="pr.329"/>
    <x v="3"/>
    <n v="144.31"/>
    <n v="10"/>
    <n v="5"/>
    <x v="2"/>
    <s v="UPI"/>
    <n v="1.3"/>
    <n v="238"/>
    <x v="326"/>
  </r>
  <r>
    <n v="330"/>
    <x v="25"/>
    <s v="pr.330"/>
    <x v="0"/>
    <n v="454.99"/>
    <n v="15"/>
    <n v="3"/>
    <x v="3"/>
    <s v="Credit Card"/>
    <n v="2.2000000000000002"/>
    <n v="327"/>
    <x v="327"/>
  </r>
  <r>
    <n v="331"/>
    <x v="197"/>
    <s v="pr.331"/>
    <x v="5"/>
    <n v="24.1"/>
    <n v="10"/>
    <n v="1"/>
    <x v="3"/>
    <s v="Cash on Delivery"/>
    <n v="4.9000000000000004"/>
    <n v="89"/>
    <x v="328"/>
  </r>
  <r>
    <n v="332"/>
    <x v="253"/>
    <s v="pr.332"/>
    <x v="2"/>
    <n v="8.6"/>
    <n v="0"/>
    <n v="4"/>
    <x v="2"/>
    <s v="Credit Card"/>
    <n v="1.5"/>
    <n v="274"/>
    <x v="329"/>
  </r>
  <r>
    <n v="333"/>
    <x v="254"/>
    <s v="pr.333"/>
    <x v="1"/>
    <n v="302.8"/>
    <n v="20"/>
    <n v="4"/>
    <x v="1"/>
    <s v="UPI"/>
    <n v="4.9000000000000004"/>
    <n v="465"/>
    <x v="330"/>
  </r>
  <r>
    <n v="334"/>
    <x v="220"/>
    <s v="pr.334"/>
    <x v="4"/>
    <n v="243.41"/>
    <n v="10"/>
    <n v="2"/>
    <x v="0"/>
    <s v="Cash on Delivery"/>
    <n v="1.2"/>
    <n v="99"/>
    <x v="331"/>
  </r>
  <r>
    <n v="335"/>
    <x v="223"/>
    <s v="pr.335"/>
    <x v="2"/>
    <n v="237.25"/>
    <n v="0"/>
    <n v="3"/>
    <x v="2"/>
    <s v="Wallet"/>
    <n v="4.5"/>
    <n v="177"/>
    <x v="332"/>
  </r>
  <r>
    <n v="336"/>
    <x v="255"/>
    <s v="pr.336"/>
    <x v="1"/>
    <n v="120.86"/>
    <n v="5"/>
    <n v="2"/>
    <x v="1"/>
    <s v="UPI"/>
    <n v="3.8"/>
    <n v="344"/>
    <x v="333"/>
  </r>
  <r>
    <n v="337"/>
    <x v="122"/>
    <s v="pr.337"/>
    <x v="1"/>
    <n v="300.74"/>
    <n v="0"/>
    <n v="1"/>
    <x v="0"/>
    <s v="Credit Card"/>
    <n v="2.9"/>
    <n v="74"/>
    <x v="334"/>
  </r>
  <r>
    <n v="338"/>
    <x v="24"/>
    <s v="pr.338"/>
    <x v="0"/>
    <n v="13.39"/>
    <n v="10"/>
    <n v="5"/>
    <x v="1"/>
    <s v="UPI"/>
    <n v="4.4000000000000004"/>
    <n v="495"/>
    <x v="335"/>
  </r>
  <r>
    <n v="339"/>
    <x v="256"/>
    <s v="pr.339"/>
    <x v="1"/>
    <n v="219.74"/>
    <n v="15"/>
    <n v="3"/>
    <x v="3"/>
    <s v="Debit Card"/>
    <n v="2.2000000000000002"/>
    <n v="208"/>
    <x v="336"/>
  </r>
  <r>
    <n v="340"/>
    <x v="257"/>
    <s v="pr.340"/>
    <x v="5"/>
    <n v="186.63"/>
    <n v="10"/>
    <n v="4"/>
    <x v="1"/>
    <s v="Credit Card"/>
    <n v="2.8"/>
    <n v="235"/>
    <x v="337"/>
  </r>
  <r>
    <n v="341"/>
    <x v="258"/>
    <s v="pr.341"/>
    <x v="0"/>
    <n v="100.56"/>
    <n v="0"/>
    <n v="2"/>
    <x v="0"/>
    <s v="Wallet"/>
    <n v="2.2000000000000002"/>
    <n v="8"/>
    <x v="338"/>
  </r>
  <r>
    <n v="342"/>
    <x v="259"/>
    <s v="pr.342"/>
    <x v="2"/>
    <n v="257.82"/>
    <n v="30"/>
    <n v="4"/>
    <x v="2"/>
    <s v="Debit Card"/>
    <n v="5"/>
    <n v="116"/>
    <x v="339"/>
  </r>
  <r>
    <n v="343"/>
    <x v="181"/>
    <s v="pr.343"/>
    <x v="4"/>
    <n v="346.68"/>
    <n v="0"/>
    <n v="1"/>
    <x v="0"/>
    <s v="Cash on Delivery"/>
    <n v="3.3"/>
    <n v="433"/>
    <x v="340"/>
  </r>
  <r>
    <n v="344"/>
    <x v="260"/>
    <s v="pr.344"/>
    <x v="1"/>
    <n v="407.42"/>
    <n v="5"/>
    <n v="5"/>
    <x v="3"/>
    <s v="Cash on Delivery"/>
    <n v="4.0999999999999996"/>
    <n v="444"/>
    <x v="341"/>
  </r>
  <r>
    <n v="345"/>
    <x v="69"/>
    <s v="pr.345"/>
    <x v="1"/>
    <n v="233.81"/>
    <n v="20"/>
    <n v="1"/>
    <x v="1"/>
    <s v="UPI"/>
    <n v="2.2000000000000002"/>
    <n v="291"/>
    <x v="342"/>
  </r>
  <r>
    <n v="346"/>
    <x v="261"/>
    <s v="pr.346"/>
    <x v="3"/>
    <n v="123.75"/>
    <n v="0"/>
    <n v="1"/>
    <x v="2"/>
    <s v="Credit Card"/>
    <n v="1.2"/>
    <n v="190"/>
    <x v="343"/>
  </r>
  <r>
    <n v="347"/>
    <x v="14"/>
    <s v="pr.347"/>
    <x v="2"/>
    <n v="108.9"/>
    <n v="0"/>
    <n v="2"/>
    <x v="1"/>
    <s v="Debit Card"/>
    <n v="4.5999999999999996"/>
    <n v="209"/>
    <x v="344"/>
  </r>
  <r>
    <n v="348"/>
    <x v="262"/>
    <s v="pr.348"/>
    <x v="4"/>
    <n v="291.7"/>
    <n v="10"/>
    <n v="2"/>
    <x v="2"/>
    <s v="Wallet"/>
    <n v="2.5"/>
    <n v="73"/>
    <x v="345"/>
  </r>
  <r>
    <n v="349"/>
    <x v="119"/>
    <s v="pr.349"/>
    <x v="3"/>
    <n v="197.68"/>
    <n v="5"/>
    <n v="3"/>
    <x v="1"/>
    <s v="Wallet"/>
    <n v="3.2"/>
    <n v="371"/>
    <x v="346"/>
  </r>
  <r>
    <n v="350"/>
    <x v="221"/>
    <s v="pr.350"/>
    <x v="4"/>
    <n v="162.19"/>
    <n v="5"/>
    <n v="5"/>
    <x v="2"/>
    <s v="Wallet"/>
    <n v="2.9"/>
    <n v="1"/>
    <x v="347"/>
  </r>
  <r>
    <n v="351"/>
    <x v="193"/>
    <s v="pr.351"/>
    <x v="1"/>
    <n v="263.87"/>
    <n v="15"/>
    <n v="5"/>
    <x v="3"/>
    <s v="Cash on Delivery"/>
    <n v="2.1"/>
    <n v="236"/>
    <x v="348"/>
  </r>
  <r>
    <n v="352"/>
    <x v="202"/>
    <s v="pr.352"/>
    <x v="1"/>
    <n v="280.43"/>
    <n v="0"/>
    <n v="5"/>
    <x v="1"/>
    <s v="Wallet"/>
    <n v="1.7"/>
    <n v="139"/>
    <x v="349"/>
  </r>
  <r>
    <n v="353"/>
    <x v="174"/>
    <s v="pr.353"/>
    <x v="5"/>
    <n v="120.75"/>
    <n v="0"/>
    <n v="5"/>
    <x v="1"/>
    <s v="Debit Card"/>
    <n v="4.5"/>
    <n v="366"/>
    <x v="350"/>
  </r>
  <r>
    <n v="354"/>
    <x v="263"/>
    <s v="pr.354"/>
    <x v="0"/>
    <n v="192.26"/>
    <n v="30"/>
    <n v="5"/>
    <x v="1"/>
    <s v="Debit Card"/>
    <n v="4.8"/>
    <n v="359"/>
    <x v="351"/>
  </r>
  <r>
    <n v="355"/>
    <x v="264"/>
    <s v="pr.355"/>
    <x v="5"/>
    <n v="355.31"/>
    <n v="30"/>
    <n v="4"/>
    <x v="0"/>
    <s v="Wallet"/>
    <n v="4.5999999999999996"/>
    <n v="334"/>
    <x v="352"/>
  </r>
  <r>
    <n v="356"/>
    <x v="265"/>
    <s v="pr.356"/>
    <x v="4"/>
    <n v="196.76"/>
    <n v="20"/>
    <n v="1"/>
    <x v="3"/>
    <s v="Wallet"/>
    <n v="3.1"/>
    <n v="215"/>
    <x v="353"/>
  </r>
  <r>
    <n v="357"/>
    <x v="119"/>
    <s v="pr.357"/>
    <x v="4"/>
    <n v="224.83"/>
    <n v="10"/>
    <n v="2"/>
    <x v="0"/>
    <s v="Debit Card"/>
    <n v="3.6"/>
    <n v="152"/>
    <x v="354"/>
  </r>
  <r>
    <n v="358"/>
    <x v="37"/>
    <s v="pr.358"/>
    <x v="4"/>
    <n v="321.81"/>
    <n v="0"/>
    <n v="5"/>
    <x v="3"/>
    <s v="Wallet"/>
    <n v="1.6"/>
    <n v="276"/>
    <x v="355"/>
  </r>
  <r>
    <n v="359"/>
    <x v="266"/>
    <s v="pr.359"/>
    <x v="2"/>
    <n v="99.45"/>
    <n v="20"/>
    <n v="5"/>
    <x v="1"/>
    <s v="Credit Card"/>
    <n v="2.4"/>
    <n v="373"/>
    <x v="356"/>
  </r>
  <r>
    <n v="360"/>
    <x v="267"/>
    <s v="pr.360"/>
    <x v="4"/>
    <n v="434.06"/>
    <n v="5"/>
    <n v="2"/>
    <x v="1"/>
    <s v="Wallet"/>
    <n v="1"/>
    <n v="74"/>
    <x v="357"/>
  </r>
  <r>
    <n v="361"/>
    <x v="30"/>
    <s v="pr.361"/>
    <x v="0"/>
    <n v="172.51"/>
    <n v="10"/>
    <n v="3"/>
    <x v="1"/>
    <s v="UPI"/>
    <n v="3.1"/>
    <n v="208"/>
    <x v="358"/>
  </r>
  <r>
    <n v="362"/>
    <x v="26"/>
    <s v="pr.362"/>
    <x v="1"/>
    <n v="345.39"/>
    <n v="0"/>
    <n v="4"/>
    <x v="1"/>
    <s v="Credit Card"/>
    <n v="2.7"/>
    <n v="24"/>
    <x v="359"/>
  </r>
  <r>
    <n v="363"/>
    <x v="268"/>
    <s v="pr.363"/>
    <x v="5"/>
    <n v="152.12"/>
    <n v="0"/>
    <n v="1"/>
    <x v="2"/>
    <s v="Cash on Delivery"/>
    <n v="3.5"/>
    <n v="73"/>
    <x v="360"/>
  </r>
  <r>
    <n v="364"/>
    <x v="269"/>
    <s v="pr.364"/>
    <x v="1"/>
    <n v="325.83"/>
    <n v="30"/>
    <n v="3"/>
    <x v="2"/>
    <s v="Debit Card"/>
    <n v="2.2000000000000002"/>
    <n v="382"/>
    <x v="361"/>
  </r>
  <r>
    <n v="365"/>
    <x v="270"/>
    <s v="pr.365"/>
    <x v="2"/>
    <n v="142.29"/>
    <n v="10"/>
    <n v="1"/>
    <x v="1"/>
    <s v="Wallet"/>
    <n v="2.5"/>
    <n v="451"/>
    <x v="362"/>
  </r>
  <r>
    <n v="366"/>
    <x v="271"/>
    <s v="pr.366"/>
    <x v="3"/>
    <n v="375.28"/>
    <n v="30"/>
    <n v="4"/>
    <x v="1"/>
    <s v="Wallet"/>
    <n v="3.7"/>
    <n v="80"/>
    <x v="363"/>
  </r>
  <r>
    <n v="367"/>
    <x v="67"/>
    <s v="pr.367"/>
    <x v="5"/>
    <n v="56.9"/>
    <n v="20"/>
    <n v="4"/>
    <x v="1"/>
    <s v="Cash on Delivery"/>
    <n v="1.6"/>
    <n v="23"/>
    <x v="364"/>
  </r>
  <r>
    <n v="368"/>
    <x v="272"/>
    <s v="pr.368"/>
    <x v="2"/>
    <n v="157.21"/>
    <n v="5"/>
    <n v="3"/>
    <x v="1"/>
    <s v="Debit Card"/>
    <n v="3.5"/>
    <n v="353"/>
    <x v="365"/>
  </r>
  <r>
    <n v="369"/>
    <x v="269"/>
    <s v="pr.369"/>
    <x v="4"/>
    <n v="285.92"/>
    <n v="20"/>
    <n v="4"/>
    <x v="0"/>
    <s v="Wallet"/>
    <n v="4.5999999999999996"/>
    <n v="492"/>
    <x v="366"/>
  </r>
  <r>
    <n v="370"/>
    <x v="273"/>
    <s v="pr.370"/>
    <x v="4"/>
    <n v="318.43"/>
    <n v="15"/>
    <n v="2"/>
    <x v="1"/>
    <s v="Cash on Delivery"/>
    <n v="3.4"/>
    <n v="48"/>
    <x v="367"/>
  </r>
  <r>
    <n v="371"/>
    <x v="274"/>
    <s v="pr.371"/>
    <x v="3"/>
    <n v="73.39"/>
    <n v="0"/>
    <n v="4"/>
    <x v="0"/>
    <s v="UPI"/>
    <n v="1.6"/>
    <n v="230"/>
    <x v="368"/>
  </r>
  <r>
    <n v="372"/>
    <x v="275"/>
    <s v="pr.372"/>
    <x v="5"/>
    <n v="163.16999999999999"/>
    <n v="15"/>
    <n v="5"/>
    <x v="3"/>
    <s v="Wallet"/>
    <n v="1.1000000000000001"/>
    <n v="354"/>
    <x v="369"/>
  </r>
  <r>
    <n v="373"/>
    <x v="276"/>
    <s v="pr.373"/>
    <x v="0"/>
    <n v="55.39"/>
    <n v="10"/>
    <n v="1"/>
    <x v="2"/>
    <s v="UPI"/>
    <n v="3.6"/>
    <n v="34"/>
    <x v="370"/>
  </r>
  <r>
    <n v="374"/>
    <x v="277"/>
    <s v="pr.374"/>
    <x v="0"/>
    <n v="418"/>
    <n v="30"/>
    <n v="4"/>
    <x v="2"/>
    <s v="Credit Card"/>
    <n v="4.5"/>
    <n v="121"/>
    <x v="371"/>
  </r>
  <r>
    <n v="375"/>
    <x v="278"/>
    <s v="pr.375"/>
    <x v="4"/>
    <n v="491.91"/>
    <n v="30"/>
    <n v="3"/>
    <x v="3"/>
    <s v="Cash on Delivery"/>
    <n v="3"/>
    <n v="1"/>
    <x v="372"/>
  </r>
  <r>
    <n v="376"/>
    <x v="108"/>
    <s v="pr.376"/>
    <x v="4"/>
    <n v="145.47999999999999"/>
    <n v="0"/>
    <n v="2"/>
    <x v="1"/>
    <s v="Wallet"/>
    <n v="1.2"/>
    <n v="196"/>
    <x v="373"/>
  </r>
  <r>
    <n v="377"/>
    <x v="23"/>
    <s v="pr.377"/>
    <x v="4"/>
    <n v="244.14"/>
    <n v="0"/>
    <n v="2"/>
    <x v="0"/>
    <s v="Credit Card"/>
    <n v="4.8"/>
    <n v="417"/>
    <x v="374"/>
  </r>
  <r>
    <n v="378"/>
    <x v="233"/>
    <s v="pr.378"/>
    <x v="2"/>
    <n v="255.73"/>
    <n v="10"/>
    <n v="4"/>
    <x v="3"/>
    <s v="Cash on Delivery"/>
    <n v="2.7"/>
    <n v="312"/>
    <x v="375"/>
  </r>
  <r>
    <n v="379"/>
    <x v="128"/>
    <s v="pr.379"/>
    <x v="3"/>
    <n v="86.4"/>
    <n v="15"/>
    <n v="3"/>
    <x v="0"/>
    <s v="UPI"/>
    <n v="4.3"/>
    <n v="372"/>
    <x v="376"/>
  </r>
  <r>
    <n v="380"/>
    <x v="279"/>
    <s v="pr.380"/>
    <x v="3"/>
    <n v="335.47"/>
    <n v="20"/>
    <n v="4"/>
    <x v="2"/>
    <s v="Debit Card"/>
    <n v="1.9"/>
    <n v="290"/>
    <x v="377"/>
  </r>
  <r>
    <n v="381"/>
    <x v="280"/>
    <s v="pr.381"/>
    <x v="1"/>
    <n v="260.81"/>
    <n v="15"/>
    <n v="5"/>
    <x v="2"/>
    <s v="Wallet"/>
    <n v="4"/>
    <n v="212"/>
    <x v="378"/>
  </r>
  <r>
    <n v="382"/>
    <x v="281"/>
    <s v="pr.382"/>
    <x v="3"/>
    <n v="259.36"/>
    <n v="5"/>
    <n v="3"/>
    <x v="0"/>
    <s v="Cash on Delivery"/>
    <n v="3.4"/>
    <n v="418"/>
    <x v="379"/>
  </r>
  <r>
    <n v="383"/>
    <x v="69"/>
    <s v="pr.383"/>
    <x v="5"/>
    <n v="34"/>
    <n v="15"/>
    <n v="5"/>
    <x v="2"/>
    <s v="Debit Card"/>
    <n v="2.5"/>
    <n v="97"/>
    <x v="380"/>
  </r>
  <r>
    <n v="384"/>
    <x v="35"/>
    <s v="pr.384"/>
    <x v="3"/>
    <n v="44.56"/>
    <n v="30"/>
    <n v="4"/>
    <x v="0"/>
    <s v="Debit Card"/>
    <n v="3.1"/>
    <n v="100"/>
    <x v="381"/>
  </r>
  <r>
    <n v="385"/>
    <x v="282"/>
    <s v="pr.385"/>
    <x v="5"/>
    <n v="482.32"/>
    <n v="20"/>
    <n v="1"/>
    <x v="3"/>
    <s v="Debit Card"/>
    <n v="3.5"/>
    <n v="246"/>
    <x v="382"/>
  </r>
  <r>
    <n v="386"/>
    <x v="283"/>
    <s v="pr.386"/>
    <x v="0"/>
    <n v="470.16"/>
    <n v="5"/>
    <n v="2"/>
    <x v="3"/>
    <s v="Credit Card"/>
    <n v="4.8"/>
    <n v="384"/>
    <x v="383"/>
  </r>
  <r>
    <n v="387"/>
    <x v="141"/>
    <s v="pr.387"/>
    <x v="1"/>
    <n v="14.02"/>
    <n v="10"/>
    <n v="4"/>
    <x v="1"/>
    <s v="Cash on Delivery"/>
    <n v="3.9"/>
    <n v="466"/>
    <x v="384"/>
  </r>
  <r>
    <n v="388"/>
    <x v="151"/>
    <s v="pr.388"/>
    <x v="3"/>
    <n v="272.52999999999997"/>
    <n v="0"/>
    <n v="4"/>
    <x v="0"/>
    <s v="Debit Card"/>
    <n v="2.8"/>
    <n v="435"/>
    <x v="385"/>
  </r>
  <r>
    <n v="389"/>
    <x v="140"/>
    <s v="pr.389"/>
    <x v="0"/>
    <n v="37.1"/>
    <n v="30"/>
    <n v="5"/>
    <x v="0"/>
    <s v="Debit Card"/>
    <n v="2.2000000000000002"/>
    <n v="415"/>
    <x v="386"/>
  </r>
  <r>
    <n v="390"/>
    <x v="284"/>
    <s v="pr.390"/>
    <x v="5"/>
    <n v="397.61"/>
    <n v="5"/>
    <n v="4"/>
    <x v="0"/>
    <s v="Cash on Delivery"/>
    <n v="1.8"/>
    <n v="353"/>
    <x v="387"/>
  </r>
  <r>
    <n v="391"/>
    <x v="285"/>
    <s v="pr.391"/>
    <x v="1"/>
    <n v="29.38"/>
    <n v="5"/>
    <n v="5"/>
    <x v="1"/>
    <s v="Wallet"/>
    <n v="4.3"/>
    <n v="313"/>
    <x v="388"/>
  </r>
  <r>
    <n v="392"/>
    <x v="286"/>
    <s v="pr.392"/>
    <x v="0"/>
    <n v="276.91000000000003"/>
    <n v="5"/>
    <n v="4"/>
    <x v="2"/>
    <s v="Credit Card"/>
    <n v="4.5"/>
    <n v="377"/>
    <x v="389"/>
  </r>
  <r>
    <n v="393"/>
    <x v="257"/>
    <s v="pr.393"/>
    <x v="5"/>
    <n v="311.54000000000002"/>
    <n v="30"/>
    <n v="2"/>
    <x v="3"/>
    <s v="UPI"/>
    <n v="4.4000000000000004"/>
    <n v="240"/>
    <x v="390"/>
  </r>
  <r>
    <n v="394"/>
    <x v="287"/>
    <s v="pr.394"/>
    <x v="1"/>
    <n v="52.55"/>
    <n v="0"/>
    <n v="2"/>
    <x v="2"/>
    <s v="UPI"/>
    <n v="1.6"/>
    <n v="274"/>
    <x v="391"/>
  </r>
  <r>
    <n v="395"/>
    <x v="288"/>
    <s v="pr.395"/>
    <x v="4"/>
    <n v="299.20999999999998"/>
    <n v="20"/>
    <n v="3"/>
    <x v="1"/>
    <s v="Credit Card"/>
    <n v="3.2"/>
    <n v="483"/>
    <x v="392"/>
  </r>
  <r>
    <n v="396"/>
    <x v="289"/>
    <s v="pr.396"/>
    <x v="3"/>
    <n v="471.13"/>
    <n v="5"/>
    <n v="3"/>
    <x v="0"/>
    <s v="Wallet"/>
    <n v="3.9"/>
    <n v="325"/>
    <x v="393"/>
  </r>
  <r>
    <n v="397"/>
    <x v="290"/>
    <s v="pr.397"/>
    <x v="4"/>
    <n v="53.18"/>
    <n v="10"/>
    <n v="4"/>
    <x v="2"/>
    <s v="Debit Card"/>
    <n v="3.6"/>
    <n v="436"/>
    <x v="394"/>
  </r>
  <r>
    <n v="398"/>
    <x v="56"/>
    <s v="pr.398"/>
    <x v="4"/>
    <n v="343.91"/>
    <n v="20"/>
    <n v="2"/>
    <x v="2"/>
    <s v="Debit Card"/>
    <n v="2"/>
    <n v="74"/>
    <x v="395"/>
  </r>
  <r>
    <n v="399"/>
    <x v="291"/>
    <s v="pr.399"/>
    <x v="4"/>
    <n v="139.27000000000001"/>
    <n v="10"/>
    <n v="5"/>
    <x v="0"/>
    <s v="Credit Card"/>
    <n v="4.4000000000000004"/>
    <n v="233"/>
    <x v="396"/>
  </r>
  <r>
    <n v="400"/>
    <x v="79"/>
    <s v="pr.400"/>
    <x v="0"/>
    <n v="140.44"/>
    <n v="0"/>
    <n v="4"/>
    <x v="2"/>
    <s v="Debit Card"/>
    <n v="1.3"/>
    <n v="220"/>
    <x v="397"/>
  </r>
  <r>
    <n v="401"/>
    <x v="292"/>
    <s v="pr.401"/>
    <x v="4"/>
    <n v="274.33999999999997"/>
    <n v="30"/>
    <n v="1"/>
    <x v="1"/>
    <s v="Debit Card"/>
    <n v="4.3"/>
    <n v="274"/>
    <x v="398"/>
  </r>
  <r>
    <n v="402"/>
    <x v="293"/>
    <s v="pr.402"/>
    <x v="2"/>
    <n v="464.28"/>
    <n v="10"/>
    <n v="3"/>
    <x v="3"/>
    <s v="Wallet"/>
    <n v="2.7"/>
    <n v="446"/>
    <x v="399"/>
  </r>
  <r>
    <n v="403"/>
    <x v="294"/>
    <s v="pr.403"/>
    <x v="4"/>
    <n v="119.21"/>
    <n v="15"/>
    <n v="3"/>
    <x v="0"/>
    <s v="Cash on Delivery"/>
    <n v="3.2"/>
    <n v="412"/>
    <x v="400"/>
  </r>
  <r>
    <n v="404"/>
    <x v="133"/>
    <s v="pr.404"/>
    <x v="0"/>
    <n v="496.7"/>
    <n v="15"/>
    <n v="3"/>
    <x v="1"/>
    <s v="UPI"/>
    <n v="1.1000000000000001"/>
    <n v="72"/>
    <x v="401"/>
  </r>
  <r>
    <n v="405"/>
    <x v="38"/>
    <s v="pr.405"/>
    <x v="3"/>
    <n v="50.27"/>
    <n v="30"/>
    <n v="5"/>
    <x v="2"/>
    <s v="UPI"/>
    <n v="4.9000000000000004"/>
    <n v="452"/>
    <x v="402"/>
  </r>
  <r>
    <n v="406"/>
    <x v="295"/>
    <s v="pr.406"/>
    <x v="2"/>
    <n v="470.39"/>
    <n v="30"/>
    <n v="3"/>
    <x v="0"/>
    <s v="Credit Card"/>
    <n v="3.6"/>
    <n v="491"/>
    <x v="403"/>
  </r>
  <r>
    <n v="407"/>
    <x v="296"/>
    <s v="pr.407"/>
    <x v="1"/>
    <n v="13.83"/>
    <n v="0"/>
    <n v="2"/>
    <x v="0"/>
    <s v="Credit Card"/>
    <n v="4.4000000000000004"/>
    <n v="110"/>
    <x v="404"/>
  </r>
  <r>
    <n v="408"/>
    <x v="28"/>
    <s v="pr.408"/>
    <x v="1"/>
    <n v="85.28"/>
    <n v="30"/>
    <n v="3"/>
    <x v="1"/>
    <s v="Credit Card"/>
    <n v="2.2999999999999998"/>
    <n v="62"/>
    <x v="405"/>
  </r>
  <r>
    <n v="409"/>
    <x v="272"/>
    <s v="pr.409"/>
    <x v="3"/>
    <n v="488.31"/>
    <n v="20"/>
    <n v="5"/>
    <x v="0"/>
    <s v="Wallet"/>
    <n v="1.3"/>
    <n v="413"/>
    <x v="406"/>
  </r>
  <r>
    <n v="410"/>
    <x v="297"/>
    <s v="pr.410"/>
    <x v="0"/>
    <n v="136.72999999999999"/>
    <n v="0"/>
    <n v="4"/>
    <x v="0"/>
    <s v="Credit Card"/>
    <n v="1.5"/>
    <n v="83"/>
    <x v="407"/>
  </r>
  <r>
    <n v="411"/>
    <x v="298"/>
    <s v="pr.411"/>
    <x v="4"/>
    <n v="8.52"/>
    <n v="20"/>
    <n v="1"/>
    <x v="3"/>
    <s v="Credit Card"/>
    <n v="4.7"/>
    <n v="360"/>
    <x v="408"/>
  </r>
  <r>
    <n v="412"/>
    <x v="172"/>
    <s v="pr.412"/>
    <x v="1"/>
    <n v="443.11"/>
    <n v="15"/>
    <n v="4"/>
    <x v="1"/>
    <s v="Debit Card"/>
    <n v="3.5"/>
    <n v="242"/>
    <x v="409"/>
  </r>
  <r>
    <n v="413"/>
    <x v="35"/>
    <s v="pr.413"/>
    <x v="3"/>
    <n v="457.42"/>
    <n v="15"/>
    <n v="4"/>
    <x v="3"/>
    <s v="Credit Card"/>
    <n v="1.9"/>
    <n v="379"/>
    <x v="410"/>
  </r>
  <r>
    <n v="414"/>
    <x v="227"/>
    <s v="pr.414"/>
    <x v="3"/>
    <n v="373.48"/>
    <n v="15"/>
    <n v="3"/>
    <x v="2"/>
    <s v="Debit Card"/>
    <n v="3.5"/>
    <n v="311"/>
    <x v="411"/>
  </r>
  <r>
    <n v="415"/>
    <x v="299"/>
    <s v="pr.415"/>
    <x v="4"/>
    <n v="470.08"/>
    <n v="5"/>
    <n v="4"/>
    <x v="2"/>
    <s v="Cash on Delivery"/>
    <n v="4"/>
    <n v="114"/>
    <x v="412"/>
  </r>
  <r>
    <n v="416"/>
    <x v="123"/>
    <s v="pr.416"/>
    <x v="3"/>
    <n v="136.51"/>
    <n v="15"/>
    <n v="1"/>
    <x v="0"/>
    <s v="Wallet"/>
    <n v="4.2"/>
    <n v="6"/>
    <x v="413"/>
  </r>
  <r>
    <n v="417"/>
    <x v="300"/>
    <s v="pr.417"/>
    <x v="0"/>
    <n v="324.42"/>
    <n v="10"/>
    <n v="3"/>
    <x v="2"/>
    <s v="Cash on Delivery"/>
    <n v="1.1000000000000001"/>
    <n v="431"/>
    <x v="414"/>
  </r>
  <r>
    <n v="418"/>
    <x v="86"/>
    <s v="pr.418"/>
    <x v="0"/>
    <n v="372.46"/>
    <n v="0"/>
    <n v="2"/>
    <x v="2"/>
    <s v="Wallet"/>
    <n v="4.2"/>
    <n v="172"/>
    <x v="415"/>
  </r>
  <r>
    <n v="419"/>
    <x v="216"/>
    <s v="pr.419"/>
    <x v="2"/>
    <n v="486.93"/>
    <n v="30"/>
    <n v="4"/>
    <x v="2"/>
    <s v="Credit Card"/>
    <n v="3.6"/>
    <n v="127"/>
    <x v="416"/>
  </r>
  <r>
    <n v="420"/>
    <x v="149"/>
    <s v="pr.420"/>
    <x v="1"/>
    <n v="449.58"/>
    <n v="20"/>
    <n v="3"/>
    <x v="0"/>
    <s v="Cash on Delivery"/>
    <n v="3.8"/>
    <n v="296"/>
    <x v="417"/>
  </r>
  <r>
    <n v="421"/>
    <x v="125"/>
    <s v="pr.421"/>
    <x v="5"/>
    <n v="34.24"/>
    <n v="30"/>
    <n v="5"/>
    <x v="0"/>
    <s v="Debit Card"/>
    <n v="3.3"/>
    <n v="308"/>
    <x v="418"/>
  </r>
  <r>
    <n v="422"/>
    <x v="0"/>
    <s v="pr.422"/>
    <x v="3"/>
    <n v="172.83"/>
    <n v="15"/>
    <n v="5"/>
    <x v="1"/>
    <s v="UPI"/>
    <n v="4.7"/>
    <n v="275"/>
    <x v="419"/>
  </r>
  <r>
    <n v="423"/>
    <x v="301"/>
    <s v="pr.423"/>
    <x v="0"/>
    <n v="309.49"/>
    <n v="30"/>
    <n v="4"/>
    <x v="1"/>
    <s v="UPI"/>
    <n v="3.2"/>
    <n v="427"/>
    <x v="420"/>
  </r>
  <r>
    <n v="424"/>
    <x v="302"/>
    <s v="pr.424"/>
    <x v="4"/>
    <n v="428.42"/>
    <n v="0"/>
    <n v="1"/>
    <x v="1"/>
    <s v="Debit Card"/>
    <n v="2.1"/>
    <n v="352"/>
    <x v="421"/>
  </r>
  <r>
    <n v="425"/>
    <x v="303"/>
    <s v="pr.425"/>
    <x v="4"/>
    <n v="143.43"/>
    <n v="5"/>
    <n v="2"/>
    <x v="0"/>
    <s v="Cash on Delivery"/>
    <n v="4.4000000000000004"/>
    <n v="308"/>
    <x v="422"/>
  </r>
  <r>
    <n v="426"/>
    <x v="304"/>
    <s v="pr.426"/>
    <x v="5"/>
    <n v="8.99"/>
    <n v="15"/>
    <n v="2"/>
    <x v="1"/>
    <s v="Cash on Delivery"/>
    <n v="4.4000000000000004"/>
    <n v="363"/>
    <x v="423"/>
  </r>
  <r>
    <n v="427"/>
    <x v="305"/>
    <s v="pr.427"/>
    <x v="5"/>
    <n v="97.54"/>
    <n v="0"/>
    <n v="3"/>
    <x v="3"/>
    <s v="UPI"/>
    <n v="4.4000000000000004"/>
    <n v="340"/>
    <x v="424"/>
  </r>
  <r>
    <n v="428"/>
    <x v="306"/>
    <s v="pr.428"/>
    <x v="5"/>
    <n v="215.54"/>
    <n v="20"/>
    <n v="2"/>
    <x v="3"/>
    <s v="UPI"/>
    <n v="2.7"/>
    <n v="5"/>
    <x v="425"/>
  </r>
  <r>
    <n v="429"/>
    <x v="307"/>
    <s v="pr.429"/>
    <x v="4"/>
    <n v="35.270000000000003"/>
    <n v="15"/>
    <n v="5"/>
    <x v="1"/>
    <s v="Debit Card"/>
    <n v="2.2999999999999998"/>
    <n v="418"/>
    <x v="426"/>
  </r>
  <r>
    <n v="430"/>
    <x v="68"/>
    <s v="pr.430"/>
    <x v="3"/>
    <n v="25.95"/>
    <n v="10"/>
    <n v="2"/>
    <x v="1"/>
    <s v="Wallet"/>
    <n v="2.4"/>
    <n v="92"/>
    <x v="427"/>
  </r>
  <r>
    <n v="431"/>
    <x v="246"/>
    <s v="pr.431"/>
    <x v="0"/>
    <n v="203.8"/>
    <n v="30"/>
    <n v="4"/>
    <x v="1"/>
    <s v="Credit Card"/>
    <n v="4.3"/>
    <n v="457"/>
    <x v="428"/>
  </r>
  <r>
    <n v="432"/>
    <x v="223"/>
    <s v="pr.432"/>
    <x v="4"/>
    <n v="325.7"/>
    <n v="15"/>
    <n v="1"/>
    <x v="2"/>
    <s v="Debit Card"/>
    <n v="1.6"/>
    <n v="464"/>
    <x v="429"/>
  </r>
  <r>
    <n v="433"/>
    <x v="308"/>
    <s v="pr.433"/>
    <x v="0"/>
    <n v="356.7"/>
    <n v="0"/>
    <n v="5"/>
    <x v="0"/>
    <s v="Wallet"/>
    <n v="4.5999999999999996"/>
    <n v="495"/>
    <x v="430"/>
  </r>
  <r>
    <n v="434"/>
    <x v="228"/>
    <s v="pr.434"/>
    <x v="5"/>
    <n v="268.74"/>
    <n v="5"/>
    <n v="2"/>
    <x v="3"/>
    <s v="UPI"/>
    <n v="3.8"/>
    <n v="373"/>
    <x v="431"/>
  </r>
  <r>
    <n v="435"/>
    <x v="309"/>
    <s v="pr.435"/>
    <x v="2"/>
    <n v="220.76"/>
    <n v="15"/>
    <n v="2"/>
    <x v="2"/>
    <s v="Wallet"/>
    <n v="4.5"/>
    <n v="313"/>
    <x v="432"/>
  </r>
  <r>
    <n v="436"/>
    <x v="310"/>
    <s v="pr.436"/>
    <x v="1"/>
    <n v="14.33"/>
    <n v="30"/>
    <n v="3"/>
    <x v="3"/>
    <s v="Credit Card"/>
    <n v="3.3"/>
    <n v="225"/>
    <x v="433"/>
  </r>
  <r>
    <n v="437"/>
    <x v="53"/>
    <s v="pr.437"/>
    <x v="3"/>
    <n v="134.97999999999999"/>
    <n v="10"/>
    <n v="4"/>
    <x v="1"/>
    <s v="Debit Card"/>
    <n v="4.5"/>
    <n v="220"/>
    <x v="434"/>
  </r>
  <r>
    <n v="438"/>
    <x v="311"/>
    <s v="pr.438"/>
    <x v="2"/>
    <n v="336.59"/>
    <n v="5"/>
    <n v="5"/>
    <x v="1"/>
    <s v="Wallet"/>
    <n v="3.6"/>
    <n v="121"/>
    <x v="435"/>
  </r>
  <r>
    <n v="439"/>
    <x v="312"/>
    <s v="pr.439"/>
    <x v="5"/>
    <n v="227.53"/>
    <n v="10"/>
    <n v="3"/>
    <x v="2"/>
    <s v="Debit Card"/>
    <n v="3.5"/>
    <n v="498"/>
    <x v="436"/>
  </r>
  <r>
    <n v="440"/>
    <x v="313"/>
    <s v="pr.440"/>
    <x v="5"/>
    <n v="135.74"/>
    <n v="5"/>
    <n v="2"/>
    <x v="1"/>
    <s v="UPI"/>
    <n v="3.7"/>
    <n v="111"/>
    <x v="437"/>
  </r>
  <r>
    <n v="441"/>
    <x v="128"/>
    <s v="pr.441"/>
    <x v="0"/>
    <n v="118.56"/>
    <n v="15"/>
    <n v="4"/>
    <x v="2"/>
    <s v="Cash on Delivery"/>
    <n v="2.2000000000000002"/>
    <n v="30"/>
    <x v="438"/>
  </r>
  <r>
    <n v="442"/>
    <x v="209"/>
    <s v="pr.442"/>
    <x v="4"/>
    <n v="13.55"/>
    <n v="0"/>
    <n v="3"/>
    <x v="1"/>
    <s v="Credit Card"/>
    <n v="2.4"/>
    <n v="134"/>
    <x v="439"/>
  </r>
  <r>
    <n v="443"/>
    <x v="310"/>
    <s v="pr.443"/>
    <x v="1"/>
    <n v="413.41"/>
    <n v="5"/>
    <n v="1"/>
    <x v="1"/>
    <s v="Debit Card"/>
    <n v="4.5"/>
    <n v="29"/>
    <x v="440"/>
  </r>
  <r>
    <n v="444"/>
    <x v="314"/>
    <s v="pr.444"/>
    <x v="3"/>
    <n v="439.63"/>
    <n v="5"/>
    <n v="2"/>
    <x v="3"/>
    <s v="Credit Card"/>
    <n v="3.6"/>
    <n v="162"/>
    <x v="441"/>
  </r>
  <r>
    <n v="445"/>
    <x v="315"/>
    <s v="pr.445"/>
    <x v="1"/>
    <n v="186.01"/>
    <n v="20"/>
    <n v="4"/>
    <x v="3"/>
    <s v="Wallet"/>
    <n v="2.2000000000000002"/>
    <n v="186"/>
    <x v="442"/>
  </r>
  <r>
    <n v="446"/>
    <x v="136"/>
    <s v="pr.446"/>
    <x v="5"/>
    <n v="352.12"/>
    <n v="15"/>
    <n v="1"/>
    <x v="3"/>
    <s v="Cash on Delivery"/>
    <n v="3.6"/>
    <n v="360"/>
    <x v="443"/>
  </r>
  <r>
    <n v="447"/>
    <x v="183"/>
    <s v="pr.447"/>
    <x v="1"/>
    <n v="37.159999999999997"/>
    <n v="30"/>
    <n v="4"/>
    <x v="0"/>
    <s v="Cash on Delivery"/>
    <n v="4.7"/>
    <n v="446"/>
    <x v="444"/>
  </r>
  <r>
    <n v="448"/>
    <x v="316"/>
    <s v="pr.448"/>
    <x v="3"/>
    <n v="444.92"/>
    <n v="15"/>
    <n v="4"/>
    <x v="0"/>
    <s v="Cash on Delivery"/>
    <n v="3.5"/>
    <n v="167"/>
    <x v="445"/>
  </r>
  <r>
    <n v="449"/>
    <x v="317"/>
    <s v="pr.449"/>
    <x v="5"/>
    <n v="453.86"/>
    <n v="10"/>
    <n v="5"/>
    <x v="1"/>
    <s v="Debit Card"/>
    <n v="4.0999999999999996"/>
    <n v="420"/>
    <x v="446"/>
  </r>
  <r>
    <n v="450"/>
    <x v="49"/>
    <s v="pr.450"/>
    <x v="3"/>
    <n v="82.64"/>
    <n v="30"/>
    <n v="4"/>
    <x v="2"/>
    <s v="Wallet"/>
    <n v="1.8"/>
    <n v="1"/>
    <x v="447"/>
  </r>
  <r>
    <n v="451"/>
    <x v="318"/>
    <s v="pr.451"/>
    <x v="1"/>
    <n v="391.4"/>
    <n v="0"/>
    <n v="3"/>
    <x v="0"/>
    <s v="UPI"/>
    <n v="1.7"/>
    <n v="462"/>
    <x v="448"/>
  </r>
  <r>
    <n v="452"/>
    <x v="319"/>
    <s v="pr.452"/>
    <x v="2"/>
    <n v="239.26"/>
    <n v="0"/>
    <n v="2"/>
    <x v="2"/>
    <s v="Wallet"/>
    <n v="1.4"/>
    <n v="231"/>
    <x v="449"/>
  </r>
  <r>
    <n v="453"/>
    <x v="320"/>
    <s v="pr.453"/>
    <x v="5"/>
    <n v="342.1"/>
    <n v="15"/>
    <n v="4"/>
    <x v="0"/>
    <s v="Wallet"/>
    <n v="3.7"/>
    <n v="34"/>
    <x v="450"/>
  </r>
  <r>
    <n v="454"/>
    <x v="321"/>
    <s v="pr.454"/>
    <x v="5"/>
    <n v="239.97"/>
    <n v="20"/>
    <n v="1"/>
    <x v="0"/>
    <s v="UPI"/>
    <n v="3.3"/>
    <n v="453"/>
    <x v="451"/>
  </r>
  <r>
    <n v="455"/>
    <x v="322"/>
    <s v="pr.455"/>
    <x v="2"/>
    <n v="43.94"/>
    <n v="0"/>
    <n v="4"/>
    <x v="2"/>
    <s v="Cash on Delivery"/>
    <n v="1.1000000000000001"/>
    <n v="372"/>
    <x v="452"/>
  </r>
  <r>
    <n v="456"/>
    <x v="323"/>
    <s v="pr.456"/>
    <x v="3"/>
    <n v="420.82"/>
    <n v="10"/>
    <n v="5"/>
    <x v="3"/>
    <s v="UPI"/>
    <n v="1.8"/>
    <n v="305"/>
    <x v="453"/>
  </r>
  <r>
    <n v="457"/>
    <x v="324"/>
    <s v="pr.457"/>
    <x v="4"/>
    <n v="47.44"/>
    <n v="15"/>
    <n v="5"/>
    <x v="3"/>
    <s v="Cash on Delivery"/>
    <n v="4.2"/>
    <n v="242"/>
    <x v="454"/>
  </r>
  <r>
    <n v="458"/>
    <x v="186"/>
    <s v="pr.458"/>
    <x v="5"/>
    <n v="183.28"/>
    <n v="20"/>
    <n v="5"/>
    <x v="2"/>
    <s v="Wallet"/>
    <n v="3.3"/>
    <n v="412"/>
    <x v="455"/>
  </r>
  <r>
    <n v="459"/>
    <x v="325"/>
    <s v="pr.459"/>
    <x v="3"/>
    <n v="493.05"/>
    <n v="30"/>
    <n v="1"/>
    <x v="0"/>
    <s v="Credit Card"/>
    <n v="1.9"/>
    <n v="205"/>
    <x v="456"/>
  </r>
  <r>
    <n v="460"/>
    <x v="326"/>
    <s v="pr.460"/>
    <x v="3"/>
    <n v="216.21"/>
    <n v="0"/>
    <n v="5"/>
    <x v="0"/>
    <s v="Cash on Delivery"/>
    <n v="2.1"/>
    <n v="4"/>
    <x v="457"/>
  </r>
  <r>
    <n v="461"/>
    <x v="304"/>
    <s v="pr.461"/>
    <x v="3"/>
    <n v="411.04"/>
    <n v="20"/>
    <n v="4"/>
    <x v="0"/>
    <s v="Wallet"/>
    <n v="1.9"/>
    <n v="14"/>
    <x v="458"/>
  </r>
  <r>
    <n v="462"/>
    <x v="327"/>
    <s v="pr.462"/>
    <x v="4"/>
    <n v="88.62"/>
    <n v="5"/>
    <n v="5"/>
    <x v="3"/>
    <s v="UPI"/>
    <n v="4.4000000000000004"/>
    <n v="33"/>
    <x v="459"/>
  </r>
  <r>
    <n v="463"/>
    <x v="145"/>
    <s v="pr.463"/>
    <x v="2"/>
    <n v="415.88"/>
    <n v="20"/>
    <n v="2"/>
    <x v="2"/>
    <s v="UPI"/>
    <n v="1.8"/>
    <n v="305"/>
    <x v="460"/>
  </r>
  <r>
    <n v="464"/>
    <x v="328"/>
    <s v="pr.464"/>
    <x v="2"/>
    <n v="233.3"/>
    <n v="5"/>
    <n v="2"/>
    <x v="0"/>
    <s v="Credit Card"/>
    <n v="1.2"/>
    <n v="203"/>
    <x v="461"/>
  </r>
  <r>
    <n v="465"/>
    <x v="329"/>
    <s v="pr.465"/>
    <x v="0"/>
    <n v="257.42"/>
    <n v="10"/>
    <n v="2"/>
    <x v="1"/>
    <s v="Cash on Delivery"/>
    <n v="4.5"/>
    <n v="59"/>
    <x v="462"/>
  </r>
  <r>
    <n v="466"/>
    <x v="181"/>
    <s v="pr.466"/>
    <x v="2"/>
    <n v="484.48"/>
    <n v="0"/>
    <n v="4"/>
    <x v="0"/>
    <s v="Credit Card"/>
    <n v="2.7"/>
    <n v="362"/>
    <x v="463"/>
  </r>
  <r>
    <n v="467"/>
    <x v="330"/>
    <s v="pr.467"/>
    <x v="5"/>
    <n v="443.64"/>
    <n v="5"/>
    <n v="5"/>
    <x v="0"/>
    <s v="Wallet"/>
    <n v="1.3"/>
    <n v="166"/>
    <x v="464"/>
  </r>
  <r>
    <n v="468"/>
    <x v="303"/>
    <s v="pr.468"/>
    <x v="1"/>
    <n v="177.15"/>
    <n v="5"/>
    <n v="4"/>
    <x v="0"/>
    <s v="UPI"/>
    <n v="2.4"/>
    <n v="150"/>
    <x v="465"/>
  </r>
  <r>
    <n v="469"/>
    <x v="331"/>
    <s v="pr.469"/>
    <x v="3"/>
    <n v="474.96"/>
    <n v="15"/>
    <n v="1"/>
    <x v="0"/>
    <s v="Credit Card"/>
    <n v="2.8"/>
    <n v="322"/>
    <x v="466"/>
  </r>
  <r>
    <n v="470"/>
    <x v="220"/>
    <s v="pr.470"/>
    <x v="1"/>
    <n v="56.05"/>
    <n v="0"/>
    <n v="2"/>
    <x v="3"/>
    <s v="Debit Card"/>
    <n v="3.5"/>
    <n v="207"/>
    <x v="467"/>
  </r>
  <r>
    <n v="471"/>
    <x v="332"/>
    <s v="pr.471"/>
    <x v="3"/>
    <n v="17.96"/>
    <n v="0"/>
    <n v="3"/>
    <x v="2"/>
    <s v="Cash on Delivery"/>
    <n v="1.7"/>
    <n v="189"/>
    <x v="468"/>
  </r>
  <r>
    <n v="472"/>
    <x v="126"/>
    <s v="pr.472"/>
    <x v="3"/>
    <n v="268.66000000000003"/>
    <n v="5"/>
    <n v="3"/>
    <x v="0"/>
    <s v="Debit Card"/>
    <n v="3.8"/>
    <n v="126"/>
    <x v="469"/>
  </r>
  <r>
    <n v="473"/>
    <x v="311"/>
    <s v="pr.473"/>
    <x v="2"/>
    <n v="386.1"/>
    <n v="30"/>
    <n v="2"/>
    <x v="1"/>
    <s v="Wallet"/>
    <n v="1.2"/>
    <n v="119"/>
    <x v="470"/>
  </r>
  <r>
    <n v="474"/>
    <x v="333"/>
    <s v="pr.474"/>
    <x v="5"/>
    <n v="114.37"/>
    <n v="5"/>
    <n v="4"/>
    <x v="2"/>
    <s v="Debit Card"/>
    <n v="1.7"/>
    <n v="25"/>
    <x v="471"/>
  </r>
  <r>
    <n v="475"/>
    <x v="334"/>
    <s v="pr.475"/>
    <x v="4"/>
    <n v="44.75"/>
    <n v="15"/>
    <n v="3"/>
    <x v="1"/>
    <s v="Cash on Delivery"/>
    <n v="1.5"/>
    <n v="492"/>
    <x v="472"/>
  </r>
  <r>
    <n v="476"/>
    <x v="208"/>
    <s v="pr.476"/>
    <x v="4"/>
    <n v="423.53"/>
    <n v="5"/>
    <n v="4"/>
    <x v="0"/>
    <s v="Credit Card"/>
    <n v="2.9"/>
    <n v="50"/>
    <x v="473"/>
  </r>
  <r>
    <n v="477"/>
    <x v="335"/>
    <s v="pr.477"/>
    <x v="1"/>
    <n v="493.23"/>
    <n v="10"/>
    <n v="5"/>
    <x v="3"/>
    <s v="UPI"/>
    <n v="2.7"/>
    <n v="319"/>
    <x v="474"/>
  </r>
  <r>
    <n v="478"/>
    <x v="106"/>
    <s v="pr.478"/>
    <x v="0"/>
    <n v="348.69"/>
    <n v="15"/>
    <n v="1"/>
    <x v="3"/>
    <s v="Debit Card"/>
    <n v="4.2"/>
    <n v="82"/>
    <x v="475"/>
  </r>
  <r>
    <n v="479"/>
    <x v="218"/>
    <s v="pr.479"/>
    <x v="4"/>
    <n v="487.76"/>
    <n v="30"/>
    <n v="4"/>
    <x v="1"/>
    <s v="Wallet"/>
    <n v="2.4"/>
    <n v="497"/>
    <x v="476"/>
  </r>
  <r>
    <n v="480"/>
    <x v="336"/>
    <s v="pr.480"/>
    <x v="4"/>
    <n v="417.17"/>
    <n v="15"/>
    <n v="3"/>
    <x v="1"/>
    <s v="Debit Card"/>
    <n v="4.3"/>
    <n v="58"/>
    <x v="477"/>
  </r>
  <r>
    <n v="481"/>
    <x v="337"/>
    <s v="pr.481"/>
    <x v="2"/>
    <n v="129.66999999999999"/>
    <n v="5"/>
    <n v="4"/>
    <x v="3"/>
    <s v="Cash on Delivery"/>
    <n v="4.5"/>
    <n v="333"/>
    <x v="478"/>
  </r>
  <r>
    <n v="482"/>
    <x v="338"/>
    <s v="pr.482"/>
    <x v="0"/>
    <n v="59.34"/>
    <n v="20"/>
    <n v="4"/>
    <x v="2"/>
    <s v="UPI"/>
    <n v="4.8"/>
    <n v="311"/>
    <x v="479"/>
  </r>
  <r>
    <n v="483"/>
    <x v="15"/>
    <s v="pr.483"/>
    <x v="4"/>
    <n v="405.42"/>
    <n v="5"/>
    <n v="5"/>
    <x v="3"/>
    <s v="Debit Card"/>
    <n v="5"/>
    <n v="51"/>
    <x v="480"/>
  </r>
  <r>
    <n v="484"/>
    <x v="339"/>
    <s v="pr.484"/>
    <x v="5"/>
    <n v="331.5"/>
    <n v="5"/>
    <n v="5"/>
    <x v="1"/>
    <s v="UPI"/>
    <n v="3.6"/>
    <n v="300"/>
    <x v="481"/>
  </r>
  <r>
    <n v="485"/>
    <x v="340"/>
    <s v="pr.485"/>
    <x v="5"/>
    <n v="407.38"/>
    <n v="5"/>
    <n v="3"/>
    <x v="3"/>
    <s v="Debit Card"/>
    <n v="4"/>
    <n v="260"/>
    <x v="482"/>
  </r>
  <r>
    <n v="486"/>
    <x v="223"/>
    <s v="pr.486"/>
    <x v="1"/>
    <n v="360.59"/>
    <n v="10"/>
    <n v="3"/>
    <x v="1"/>
    <s v="Credit Card"/>
    <n v="3.6"/>
    <n v="340"/>
    <x v="483"/>
  </r>
  <r>
    <n v="487"/>
    <x v="175"/>
    <s v="pr.487"/>
    <x v="2"/>
    <n v="255.05"/>
    <n v="20"/>
    <n v="1"/>
    <x v="2"/>
    <s v="Cash on Delivery"/>
    <n v="2.8"/>
    <n v="439"/>
    <x v="484"/>
  </r>
  <r>
    <n v="488"/>
    <x v="170"/>
    <s v="pr.488"/>
    <x v="1"/>
    <n v="470.71"/>
    <n v="20"/>
    <n v="4"/>
    <x v="0"/>
    <s v="Wallet"/>
    <n v="1.4"/>
    <n v="381"/>
    <x v="485"/>
  </r>
  <r>
    <n v="489"/>
    <x v="341"/>
    <s v="pr.489"/>
    <x v="1"/>
    <n v="378.01"/>
    <n v="15"/>
    <n v="2"/>
    <x v="0"/>
    <s v="Credit Card"/>
    <n v="3.2"/>
    <n v="317"/>
    <x v="486"/>
  </r>
  <r>
    <n v="490"/>
    <x v="255"/>
    <s v="pr.490"/>
    <x v="2"/>
    <n v="9.2200000000000006"/>
    <n v="10"/>
    <n v="3"/>
    <x v="3"/>
    <s v="UPI"/>
    <n v="1.8"/>
    <n v="485"/>
    <x v="487"/>
  </r>
  <r>
    <n v="491"/>
    <x v="342"/>
    <s v="pr.491"/>
    <x v="5"/>
    <n v="353.61"/>
    <n v="0"/>
    <n v="3"/>
    <x v="1"/>
    <s v="UPI"/>
    <n v="2.8"/>
    <n v="121"/>
    <x v="488"/>
  </r>
  <r>
    <n v="492"/>
    <x v="343"/>
    <s v="pr.492"/>
    <x v="1"/>
    <n v="274.35000000000002"/>
    <n v="0"/>
    <n v="5"/>
    <x v="2"/>
    <s v="Credit Card"/>
    <n v="1.6"/>
    <n v="401"/>
    <x v="489"/>
  </r>
  <r>
    <n v="493"/>
    <x v="344"/>
    <s v="pr.493"/>
    <x v="1"/>
    <n v="73.459999999999994"/>
    <n v="10"/>
    <n v="4"/>
    <x v="2"/>
    <s v="UPI"/>
    <n v="1.1000000000000001"/>
    <n v="224"/>
    <x v="490"/>
  </r>
  <r>
    <n v="494"/>
    <x v="174"/>
    <s v="pr.494"/>
    <x v="5"/>
    <n v="220.39"/>
    <n v="5"/>
    <n v="1"/>
    <x v="3"/>
    <s v="UPI"/>
    <n v="3.9"/>
    <n v="487"/>
    <x v="491"/>
  </r>
  <r>
    <n v="495"/>
    <x v="142"/>
    <s v="pr.495"/>
    <x v="2"/>
    <n v="264.45999999999998"/>
    <n v="0"/>
    <n v="2"/>
    <x v="1"/>
    <s v="UPI"/>
    <n v="4.5"/>
    <n v="336"/>
    <x v="492"/>
  </r>
  <r>
    <n v="496"/>
    <x v="32"/>
    <s v="pr.496"/>
    <x v="0"/>
    <n v="236.88"/>
    <n v="5"/>
    <n v="3"/>
    <x v="2"/>
    <s v="UPI"/>
    <n v="3.7"/>
    <n v="285"/>
    <x v="493"/>
  </r>
  <r>
    <n v="497"/>
    <x v="16"/>
    <s v="pr.497"/>
    <x v="1"/>
    <n v="220.02"/>
    <n v="10"/>
    <n v="5"/>
    <x v="1"/>
    <s v="UPI"/>
    <n v="3.1"/>
    <n v="312"/>
    <x v="494"/>
  </r>
  <r>
    <n v="498"/>
    <x v="345"/>
    <s v="pr.498"/>
    <x v="4"/>
    <n v="317.44"/>
    <n v="5"/>
    <n v="1"/>
    <x v="2"/>
    <s v="Credit Card"/>
    <n v="4"/>
    <n v="153"/>
    <x v="495"/>
  </r>
  <r>
    <n v="499"/>
    <x v="104"/>
    <s v="pr.499"/>
    <x v="5"/>
    <n v="331.01"/>
    <n v="10"/>
    <n v="1"/>
    <x v="3"/>
    <s v="Debit Card"/>
    <n v="1.6"/>
    <n v="191"/>
    <x v="496"/>
  </r>
  <r>
    <n v="500"/>
    <x v="89"/>
    <s v="pr.500"/>
    <x v="0"/>
    <n v="350.28"/>
    <n v="30"/>
    <n v="4"/>
    <x v="0"/>
    <s v="Debit Card"/>
    <n v="1.2"/>
    <n v="51"/>
    <x v="4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E3:E10"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pivotField axis="axisRow" showAll="0">
      <items count="7">
        <item x="3"/>
        <item x="0"/>
        <item x="4"/>
        <item x="1"/>
        <item x="5"/>
        <item x="2"/>
        <item t="default"/>
      </items>
    </pivotField>
    <pivotField numFmtId="165" showAll="0"/>
    <pivotField showAll="0"/>
    <pivotField showAll="0"/>
    <pivotField showAll="0">
      <items count="5">
        <item x="1"/>
        <item x="2"/>
        <item x="3"/>
        <item x="0"/>
        <item t="default"/>
      </items>
    </pivotField>
    <pivotField showAll="0"/>
    <pivotField showAll="0"/>
    <pivotField showAll="0"/>
    <pivotField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C3:C8"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pivotField showAll="0"/>
    <pivotField numFmtId="165" showAll="0"/>
    <pivotField showAll="0"/>
    <pivotField showAll="0"/>
    <pivotField axis="axisRow" showAll="0">
      <items count="5">
        <item x="1"/>
        <item x="2"/>
        <item x="3"/>
        <item x="0"/>
        <item t="default"/>
      </items>
    </pivotField>
    <pivotField showAll="0"/>
    <pivotField showAll="0"/>
    <pivotField showAll="0"/>
    <pivotField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0">
  <location ref="P7:P8" firstHeaderRow="1" firstDataRow="1" firstDataCol="0"/>
  <pivotFields count="14">
    <pivotField showAll="0"/>
    <pivotField numFmtId="164" showAll="0">
      <items count="15">
        <item x="0"/>
        <item x="1"/>
        <item x="2"/>
        <item x="3"/>
        <item x="4"/>
        <item x="5"/>
        <item x="6"/>
        <item x="7"/>
        <item x="8"/>
        <item x="9"/>
        <item x="10"/>
        <item x="11"/>
        <item x="12"/>
        <item x="13"/>
        <item t="default"/>
      </items>
    </pivotField>
    <pivotField showAll="0"/>
    <pivotField showAll="0">
      <items count="7">
        <item x="3"/>
        <item x="0"/>
        <item x="4"/>
        <item x="1"/>
        <item x="5"/>
        <item x="2"/>
        <item t="default"/>
      </items>
    </pivotField>
    <pivotField numFmtId="165" showAll="0"/>
    <pivotField showAll="0"/>
    <pivotField showAll="0"/>
    <pivotField showAll="0">
      <items count="5">
        <item x="1"/>
        <item x="2"/>
        <item x="3"/>
        <item x="0"/>
        <item t="default"/>
      </items>
    </pivotField>
    <pivotField showAll="0"/>
    <pivotField showAll="0"/>
    <pivotField showAll="0"/>
    <pivotField dataField="1"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Count of discounted_price" fld="11" subtotal="count" baseField="0" baseItem="0"/>
  </dataFields>
  <chartFormats count="5">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16" firstHeaderRow="1" firstDataRow="1" firstDataCol="1"/>
  <pivotFields count="14">
    <pivotField showAll="0"/>
    <pivotField axis="axisRow" numFmtId="164" showAll="0">
      <items count="15">
        <item x="0"/>
        <item x="1"/>
        <item x="2"/>
        <item x="3"/>
        <item x="4"/>
        <item x="5"/>
        <item x="6"/>
        <item x="7"/>
        <item x="8"/>
        <item x="9"/>
        <item x="10"/>
        <item x="11"/>
        <item x="12"/>
        <item x="13"/>
        <item t="default"/>
      </items>
    </pivotField>
    <pivotField showAll="0"/>
    <pivotField showAll="0"/>
    <pivotField numFmtId="165" showAll="0"/>
    <pivotField showAll="0"/>
    <pivotField showAll="0"/>
    <pivotField showAll="0"/>
    <pivotField showAll="0"/>
    <pivotField showAll="0"/>
    <pivotField showAll="0"/>
    <pivotField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0">
  <location ref="M3:N10"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pivotField axis="axisRow" showAll="0">
      <items count="7">
        <item x="3"/>
        <item x="0"/>
        <item x="4"/>
        <item x="1"/>
        <item x="5"/>
        <item x="2"/>
        <item t="default"/>
      </items>
    </pivotField>
    <pivotField numFmtId="165" showAll="0"/>
    <pivotField showAll="0"/>
    <pivotField showAll="0"/>
    <pivotField showAll="0">
      <items count="5">
        <item x="1"/>
        <item x="2"/>
        <item x="3"/>
        <item x="0"/>
        <item t="default"/>
      </items>
    </pivotField>
    <pivotField showAll="0"/>
    <pivotField showAll="0"/>
    <pivotField showAll="0"/>
    <pivotField dataField="1"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7">
    <i>
      <x/>
    </i>
    <i>
      <x v="1"/>
    </i>
    <i>
      <x v="2"/>
    </i>
    <i>
      <x v="3"/>
    </i>
    <i>
      <x v="4"/>
    </i>
    <i>
      <x v="5"/>
    </i>
    <i t="grand">
      <x/>
    </i>
  </rowItems>
  <colItems count="1">
    <i/>
  </colItems>
  <dataFields count="1">
    <dataField name="Sum of discounted_price" fld="11" baseField="0" baseItem="0"/>
  </dataFields>
  <chartFormats count="5">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0">
  <location ref="P3:P4" firstHeaderRow="1" firstDataRow="1" firstDataCol="0"/>
  <pivotFields count="14">
    <pivotField showAll="0"/>
    <pivotField numFmtId="164" showAll="0">
      <items count="15">
        <item x="0"/>
        <item x="1"/>
        <item x="2"/>
        <item x="3"/>
        <item x="4"/>
        <item x="5"/>
        <item x="6"/>
        <item x="7"/>
        <item x="8"/>
        <item x="9"/>
        <item x="10"/>
        <item x="11"/>
        <item x="12"/>
        <item x="13"/>
        <item t="default"/>
      </items>
    </pivotField>
    <pivotField showAll="0"/>
    <pivotField showAll="0">
      <items count="7">
        <item x="3"/>
        <item x="0"/>
        <item x="4"/>
        <item x="1"/>
        <item x="5"/>
        <item x="2"/>
        <item t="default"/>
      </items>
    </pivotField>
    <pivotField numFmtId="165" showAll="0"/>
    <pivotField showAll="0"/>
    <pivotField showAll="0"/>
    <pivotField showAll="0">
      <items count="5">
        <item x="1"/>
        <item x="2"/>
        <item x="3"/>
        <item x="0"/>
        <item t="default"/>
      </items>
    </pivotField>
    <pivotField showAll="0"/>
    <pivotField showAll="0"/>
    <pivotField showAll="0"/>
    <pivotField dataField="1"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Sum of discounted_price" fld="11" baseField="0" baseItem="0"/>
  </dataFields>
  <chartFormats count="5">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J3:K16" firstHeaderRow="1" firstDataRow="1" firstDataCol="1"/>
  <pivotFields count="14">
    <pivotField showAll="0"/>
    <pivotField axis="axisRow" numFmtId="164" showAll="0">
      <items count="15">
        <item x="0"/>
        <item x="1"/>
        <item x="2"/>
        <item x="3"/>
        <item x="4"/>
        <item x="5"/>
        <item x="6"/>
        <item x="7"/>
        <item x="8"/>
        <item x="9"/>
        <item x="10"/>
        <item x="11"/>
        <item x="12"/>
        <item x="13"/>
        <item t="default"/>
      </items>
    </pivotField>
    <pivotField showAll="0"/>
    <pivotField showAll="0">
      <items count="7">
        <item x="3"/>
        <item x="0"/>
        <item x="4"/>
        <item x="1"/>
        <item x="5"/>
        <item x="2"/>
        <item t="default"/>
      </items>
    </pivotField>
    <pivotField numFmtId="165" showAll="0"/>
    <pivotField showAll="0"/>
    <pivotField showAll="0"/>
    <pivotField showAll="0">
      <items count="5">
        <item x="1"/>
        <item x="2"/>
        <item x="3"/>
        <item x="0"/>
        <item t="default"/>
      </items>
    </pivotField>
    <pivotField showAll="0"/>
    <pivotField showAll="0"/>
    <pivotField showAll="0"/>
    <pivotField dataField="1"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discounted_price" fld="11" baseField="0" baseItem="0"/>
  </dataFields>
  <chartFormats count="2">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G3:H8"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pivotField showAll="0">
      <items count="7">
        <item x="3"/>
        <item x="0"/>
        <item x="4"/>
        <item x="1"/>
        <item x="5"/>
        <item x="2"/>
        <item t="default"/>
      </items>
    </pivotField>
    <pivotField numFmtId="165" showAll="0"/>
    <pivotField showAll="0"/>
    <pivotField showAll="0"/>
    <pivotField axis="axisRow" showAll="0">
      <items count="5">
        <item x="1"/>
        <item x="2"/>
        <item x="3"/>
        <item x="0"/>
        <item t="default"/>
      </items>
    </pivotField>
    <pivotField showAll="0"/>
    <pivotField showAll="0"/>
    <pivotField showAll="0"/>
    <pivotField dataField="1"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5">
    <i>
      <x/>
    </i>
    <i>
      <x v="1"/>
    </i>
    <i>
      <x v="2"/>
    </i>
    <i>
      <x v="3"/>
    </i>
    <i t="grand">
      <x/>
    </i>
  </rowItems>
  <colItems count="1">
    <i/>
  </colItems>
  <dataFields count="1">
    <dataField name="Sum of discounted_price" fld="11" baseField="0" baseItem="0"/>
  </dataFields>
  <chartFormats count="2">
    <chartFormat chart="6"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region" sourceName="customer_region">
  <pivotTables>
    <pivotTable tabId="11" name="PivotTable2"/>
    <pivotTable tabId="11" name="PivotTable3"/>
    <pivotTable tabId="11" name="PivotTable4"/>
    <pivotTable tabId="11" name="PivotTable5"/>
    <pivotTable tabId="11" name="PivotTable6"/>
    <pivotTable tabId="11" name="PivotTable7"/>
    <pivotTable tabId="11" name="PivotTable8"/>
  </pivotTables>
  <data>
    <tabular pivotCacheId="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11" name="PivotTable3"/>
    <pivotTable tabId="11" name="PivotTable4"/>
    <pivotTable tabId="11" name="PivotTable5"/>
    <pivotTable tabId="11" name="PivotTable6"/>
    <pivotTable tabId="11" name="PivotTable7"/>
    <pivotTable tabId="11" name="PivotTable8"/>
  </pivotTables>
  <data>
    <tabular pivotCacheId="1">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region" cache="Slicer_customer_region" caption="customer_region" columnCount="2" style="SlicerStyleDark6" rowHeight="241300"/>
  <slicer name="product_category" cache="Slicer_product_category" caption="product_category" columnCount="6"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_region 1" cache="Slicer_customer_region" caption="customer_region" columnCount="2" style="SlicerStyleDark6" rowHeight="241300"/>
  <slicer name="product_category 1" cache="Slicer_product_category" caption="product_category" columnCount="6"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11" name="PivotTable1"/>
    <pivotTable tabId="11" name="PivotTable2"/>
    <pivotTable tabId="11" name="PivotTable3"/>
    <pivotTable tabId="11" name="PivotTable4"/>
    <pivotTable tabId="11" name="PivotTable5"/>
    <pivotTable tabId="11" name="PivotTable6"/>
    <pivotTable tabId="11" name="PivotTable7"/>
    <pivotTable tabId="11" name="PivotTable8"/>
  </pivotTables>
  <state minimalRefreshVersion="6" lastRefreshVersion="6" pivotCacheId="1"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showSelectionLabel="0" showTimeLevel="0" showHorizontalScrollbar="0" level="2" selectionLevel="2" scrollPosition="2023-12-02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_date 1" cache="NativeTimeline_order_date" caption="order_date" showSelectionLabel="0" showTimeLevel="0" showHorizontalScrollbar="0" level="2" selectionLevel="2" scrollPosition="2023-12-02T00:00:00" style="TimeSlicerStyleDark6"/>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H18" sqref="H18"/>
    </sheetView>
  </sheetViews>
  <sheetFormatPr defaultRowHeight="14.5" x14ac:dyDescent="0.35"/>
  <cols>
    <col min="1" max="1" width="16.90625" customWidth="1"/>
    <col min="2" max="2" width="14.26953125" customWidth="1"/>
    <col min="3" max="3" width="1.81640625" customWidth="1"/>
    <col min="4" max="4" width="16.7265625" customWidth="1"/>
    <col min="5" max="5" width="11.90625" customWidth="1"/>
    <col min="6" max="6" width="1.90625" customWidth="1"/>
    <col min="7" max="7" width="17.26953125" customWidth="1"/>
    <col min="8" max="8" width="13.453125" customWidth="1"/>
    <col min="9" max="9" width="2" customWidth="1"/>
    <col min="10" max="10" width="16.81640625" bestFit="1" customWidth="1"/>
    <col min="11" max="11" width="13.36328125" customWidth="1"/>
  </cols>
  <sheetData>
    <row r="1" spans="1:11" x14ac:dyDescent="0.35">
      <c r="A1" s="26" t="s">
        <v>541</v>
      </c>
      <c r="B1" s="26"/>
      <c r="D1" s="27" t="s">
        <v>11</v>
      </c>
      <c r="E1" s="27"/>
      <c r="G1" s="28" t="s">
        <v>12</v>
      </c>
      <c r="H1" s="28"/>
      <c r="J1" s="29" t="s">
        <v>6</v>
      </c>
      <c r="K1" s="29"/>
    </row>
    <row r="2" spans="1:11" x14ac:dyDescent="0.35">
      <c r="A2" s="1"/>
      <c r="B2" s="1"/>
      <c r="D2" s="1"/>
      <c r="E2" s="1"/>
      <c r="G2" s="1"/>
      <c r="H2" s="1"/>
      <c r="J2" s="1"/>
      <c r="K2" s="1"/>
    </row>
    <row r="3" spans="1:11" x14ac:dyDescent="0.35">
      <c r="A3" s="23" t="s">
        <v>528</v>
      </c>
      <c r="B3" s="23">
        <v>244.18132264529061</v>
      </c>
      <c r="D3" s="19" t="s">
        <v>528</v>
      </c>
      <c r="E3" s="19">
        <v>212.95845999999992</v>
      </c>
      <c r="G3" s="22" t="s">
        <v>528</v>
      </c>
      <c r="H3" s="22">
        <v>658.38361999999938</v>
      </c>
      <c r="J3" s="24" t="s">
        <v>528</v>
      </c>
      <c r="K3" s="24">
        <v>3.0659999999999998</v>
      </c>
    </row>
    <row r="4" spans="1:11" x14ac:dyDescent="0.35">
      <c r="A4" s="23" t="s">
        <v>529</v>
      </c>
      <c r="B4" s="23">
        <v>6.5220916662438819</v>
      </c>
      <c r="D4" s="19" t="s">
        <v>529</v>
      </c>
      <c r="E4" s="19">
        <v>5.7580616125502377</v>
      </c>
      <c r="G4" s="22" t="s">
        <v>529</v>
      </c>
      <c r="H4" s="22">
        <v>23.848782029066612</v>
      </c>
      <c r="J4" s="24" t="s">
        <v>529</v>
      </c>
      <c r="K4" s="24">
        <v>6.2120898351714526E-2</v>
      </c>
    </row>
    <row r="5" spans="1:11" x14ac:dyDescent="0.35">
      <c r="A5" s="23" t="s">
        <v>530</v>
      </c>
      <c r="B5" s="23">
        <v>242.51</v>
      </c>
      <c r="D5" s="19" t="s">
        <v>530</v>
      </c>
      <c r="E5" s="19">
        <v>210.9</v>
      </c>
      <c r="G5" s="22" t="s">
        <v>530</v>
      </c>
      <c r="H5" s="22">
        <v>497.38</v>
      </c>
      <c r="J5" s="24" t="s">
        <v>530</v>
      </c>
      <c r="K5" s="24">
        <v>3</v>
      </c>
    </row>
    <row r="6" spans="1:11" x14ac:dyDescent="0.35">
      <c r="A6" s="23" t="s">
        <v>531</v>
      </c>
      <c r="B6" s="23">
        <v>428.24</v>
      </c>
      <c r="D6" s="19" t="s">
        <v>531</v>
      </c>
      <c r="E6" s="19">
        <v>299.77</v>
      </c>
      <c r="G6" s="22" t="s">
        <v>531</v>
      </c>
      <c r="H6" s="22">
        <v>34.4</v>
      </c>
      <c r="J6" s="24" t="s">
        <v>531</v>
      </c>
      <c r="K6" s="24">
        <v>4</v>
      </c>
    </row>
    <row r="7" spans="1:11" x14ac:dyDescent="0.35">
      <c r="A7" s="23" t="s">
        <v>532</v>
      </c>
      <c r="B7" s="23">
        <v>145.69249181663776</v>
      </c>
      <c r="D7" s="19" t="s">
        <v>532</v>
      </c>
      <c r="E7" s="19">
        <v>128.75417184294389</v>
      </c>
      <c r="G7" s="22" t="s">
        <v>532</v>
      </c>
      <c r="H7" s="22">
        <v>533.2749779756831</v>
      </c>
      <c r="J7" s="24" t="s">
        <v>532</v>
      </c>
      <c r="K7" s="24">
        <v>1.3890655153778833</v>
      </c>
    </row>
    <row r="8" spans="1:11" x14ac:dyDescent="0.35">
      <c r="A8" s="23" t="s">
        <v>533</v>
      </c>
      <c r="B8" s="23">
        <v>21226.302171741063</v>
      </c>
      <c r="D8" s="19" t="s">
        <v>533</v>
      </c>
      <c r="E8" s="19">
        <v>16577.636766962325</v>
      </c>
      <c r="G8" s="22" t="s">
        <v>533</v>
      </c>
      <c r="H8" s="22">
        <v>284382.20213496534</v>
      </c>
      <c r="J8" s="24" t="s">
        <v>533</v>
      </c>
      <c r="K8" s="24">
        <v>1.9295030060120242</v>
      </c>
    </row>
    <row r="9" spans="1:11" x14ac:dyDescent="0.35">
      <c r="A9" s="23" t="s">
        <v>534</v>
      </c>
      <c r="B9" s="23">
        <v>-1.2241720460755767</v>
      </c>
      <c r="D9" s="19" t="s">
        <v>534</v>
      </c>
      <c r="E9" s="19">
        <v>-1.0943849241978634</v>
      </c>
      <c r="G9" s="22" t="s">
        <v>534</v>
      </c>
      <c r="H9" s="22">
        <v>0.12570235606662239</v>
      </c>
      <c r="J9" s="24" t="s">
        <v>534</v>
      </c>
      <c r="K9" s="24">
        <v>-1.2839697115807003</v>
      </c>
    </row>
    <row r="10" spans="1:11" x14ac:dyDescent="0.35">
      <c r="A10" s="23" t="s">
        <v>535</v>
      </c>
      <c r="B10" s="23">
        <v>6.3219542788528427E-2</v>
      </c>
      <c r="D10" s="19" t="s">
        <v>535</v>
      </c>
      <c r="E10" s="19">
        <v>0.14079971145408399</v>
      </c>
      <c r="G10" s="22" t="s">
        <v>535</v>
      </c>
      <c r="H10" s="22">
        <v>0.93522687071234867</v>
      </c>
      <c r="J10" s="24" t="s">
        <v>535</v>
      </c>
      <c r="K10" s="24">
        <v>-0.10043180013946081</v>
      </c>
    </row>
    <row r="11" spans="1:11" x14ac:dyDescent="0.35">
      <c r="A11" s="23" t="s">
        <v>536</v>
      </c>
      <c r="B11" s="23">
        <v>493.07</v>
      </c>
      <c r="D11" s="19" t="s">
        <v>536</v>
      </c>
      <c r="E11" s="19">
        <v>479.69</v>
      </c>
      <c r="G11" s="22" t="s">
        <v>536</v>
      </c>
      <c r="H11" s="22">
        <v>2409.58</v>
      </c>
      <c r="J11" s="24" t="s">
        <v>536</v>
      </c>
      <c r="K11" s="24">
        <v>4</v>
      </c>
    </row>
    <row r="12" spans="1:11" x14ac:dyDescent="0.35">
      <c r="A12" s="23" t="s">
        <v>537</v>
      </c>
      <c r="B12" s="23">
        <v>5.99</v>
      </c>
      <c r="D12" s="19" t="s">
        <v>537</v>
      </c>
      <c r="E12" s="19">
        <v>4.79</v>
      </c>
      <c r="G12" s="22" t="s">
        <v>537</v>
      </c>
      <c r="H12" s="22">
        <v>6.82</v>
      </c>
      <c r="J12" s="24" t="s">
        <v>537</v>
      </c>
      <c r="K12" s="24">
        <v>1</v>
      </c>
    </row>
    <row r="13" spans="1:11" x14ac:dyDescent="0.35">
      <c r="A13" s="23" t="s">
        <v>538</v>
      </c>
      <c r="B13" s="23">
        <v>499.06</v>
      </c>
      <c r="D13" s="19" t="s">
        <v>538</v>
      </c>
      <c r="E13" s="19">
        <v>484.48</v>
      </c>
      <c r="G13" s="22" t="s">
        <v>538</v>
      </c>
      <c r="H13" s="22">
        <v>2416.4</v>
      </c>
      <c r="J13" s="24" t="s">
        <v>538</v>
      </c>
      <c r="K13" s="24">
        <v>5</v>
      </c>
    </row>
    <row r="14" spans="1:11" x14ac:dyDescent="0.35">
      <c r="A14" s="23" t="s">
        <v>539</v>
      </c>
      <c r="B14" s="23">
        <v>121846.48000000001</v>
      </c>
      <c r="D14" s="19" t="s">
        <v>539</v>
      </c>
      <c r="E14" s="19">
        <v>106479.22999999995</v>
      </c>
      <c r="G14" s="22" t="s">
        <v>539</v>
      </c>
      <c r="H14" s="22">
        <v>329191.80999999971</v>
      </c>
      <c r="J14" s="24" t="s">
        <v>539</v>
      </c>
      <c r="K14" s="24">
        <v>1533</v>
      </c>
    </row>
    <row r="15" spans="1:11" x14ac:dyDescent="0.35">
      <c r="A15" s="23" t="s">
        <v>540</v>
      </c>
      <c r="B15" s="23">
        <v>499</v>
      </c>
      <c r="D15" s="19" t="s">
        <v>540</v>
      </c>
      <c r="E15" s="19">
        <v>500</v>
      </c>
      <c r="G15" s="22" t="s">
        <v>540</v>
      </c>
      <c r="H15" s="22">
        <v>500</v>
      </c>
      <c r="J15" s="24" t="s">
        <v>540</v>
      </c>
      <c r="K15" s="24">
        <v>500</v>
      </c>
    </row>
  </sheetData>
  <mergeCells count="4">
    <mergeCell ref="A1:B1"/>
    <mergeCell ref="D1:E1"/>
    <mergeCell ref="G1:H1"/>
    <mergeCell ref="J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K9" sqref="K9"/>
    </sheetView>
  </sheetViews>
  <sheetFormatPr defaultRowHeight="14.5" x14ac:dyDescent="0.35"/>
  <cols>
    <col min="1" max="1" width="17.453125" customWidth="1"/>
    <col min="2" max="2" width="15.26953125" customWidth="1"/>
    <col min="3" max="3" width="15.08984375" customWidth="1"/>
    <col min="4" max="4" width="15" customWidth="1"/>
    <col min="5" max="5" width="14.36328125" customWidth="1"/>
    <col min="6" max="6" width="15.90625" customWidth="1"/>
    <col min="7" max="7" width="15.26953125" customWidth="1"/>
    <col min="8" max="8" width="14.08984375" customWidth="1"/>
    <col min="9" max="9" width="13.26953125" customWidth="1"/>
  </cols>
  <sheetData>
    <row r="1" spans="1:9" x14ac:dyDescent="0.35">
      <c r="A1" t="s">
        <v>542</v>
      </c>
    </row>
    <row r="3" spans="1:9" x14ac:dyDescent="0.35">
      <c r="A3" s="18" t="s">
        <v>543</v>
      </c>
      <c r="B3" s="18"/>
    </row>
    <row r="4" spans="1:9" x14ac:dyDescent="0.35">
      <c r="A4" s="19" t="s">
        <v>544</v>
      </c>
      <c r="B4" s="19">
        <v>0.13785152432729564</v>
      </c>
    </row>
    <row r="5" spans="1:9" x14ac:dyDescent="0.35">
      <c r="A5" s="19" t="s">
        <v>545</v>
      </c>
      <c r="B5" s="19">
        <v>1.900304275935898E-2</v>
      </c>
    </row>
    <row r="6" spans="1:9" x14ac:dyDescent="0.35">
      <c r="A6" s="19" t="s">
        <v>546</v>
      </c>
      <c r="B6" s="19">
        <v>1.7029205823261111E-2</v>
      </c>
    </row>
    <row r="7" spans="1:9" x14ac:dyDescent="0.35">
      <c r="A7" s="19" t="s">
        <v>529</v>
      </c>
      <c r="B7" s="19">
        <v>9.5355460152207865</v>
      </c>
    </row>
    <row r="8" spans="1:9" x14ac:dyDescent="0.35">
      <c r="A8" s="19" t="s">
        <v>547</v>
      </c>
      <c r="B8" s="19">
        <v>499</v>
      </c>
    </row>
    <row r="10" spans="1:9" x14ac:dyDescent="0.35">
      <c r="A10" t="s">
        <v>548</v>
      </c>
    </row>
    <row r="11" spans="1:9" x14ac:dyDescent="0.35">
      <c r="A11" s="21"/>
      <c r="B11" s="21" t="s">
        <v>553</v>
      </c>
      <c r="C11" s="21" t="s">
        <v>554</v>
      </c>
      <c r="D11" s="21" t="s">
        <v>555</v>
      </c>
      <c r="E11" s="21" t="s">
        <v>556</v>
      </c>
      <c r="F11" s="21" t="s">
        <v>557</v>
      </c>
    </row>
    <row r="12" spans="1:9" x14ac:dyDescent="0.35">
      <c r="A12" s="22" t="s">
        <v>549</v>
      </c>
      <c r="B12" s="22">
        <v>1</v>
      </c>
      <c r="C12" s="22">
        <v>875.3928729561303</v>
      </c>
      <c r="D12" s="22">
        <v>875.3928729561303</v>
      </c>
      <c r="E12" s="22">
        <v>9.6274633490883001</v>
      </c>
      <c r="F12" s="22">
        <v>2.0259993900670231E-3</v>
      </c>
    </row>
    <row r="13" spans="1:9" x14ac:dyDescent="0.35">
      <c r="A13" s="22" t="s">
        <v>550</v>
      </c>
      <c r="B13" s="22">
        <v>497</v>
      </c>
      <c r="C13" s="22">
        <v>45190.538990771332</v>
      </c>
      <c r="D13" s="22">
        <v>90.926637808393025</v>
      </c>
      <c r="E13" s="22"/>
      <c r="F13" s="22"/>
    </row>
    <row r="14" spans="1:9" x14ac:dyDescent="0.35">
      <c r="A14" s="22" t="s">
        <v>551</v>
      </c>
      <c r="B14" s="22">
        <v>498</v>
      </c>
      <c r="C14" s="22">
        <v>46065.931863727463</v>
      </c>
      <c r="D14" s="22"/>
      <c r="E14" s="22"/>
      <c r="F14" s="22"/>
    </row>
    <row r="16" spans="1:9" x14ac:dyDescent="0.35">
      <c r="A16" s="20"/>
      <c r="B16" s="20" t="s">
        <v>558</v>
      </c>
      <c r="C16" s="20" t="s">
        <v>529</v>
      </c>
      <c r="D16" s="20" t="s">
        <v>559</v>
      </c>
      <c r="E16" s="20" t="s">
        <v>560</v>
      </c>
      <c r="F16" s="20" t="s">
        <v>561</v>
      </c>
      <c r="G16" s="20" t="s">
        <v>562</v>
      </c>
      <c r="H16" s="20" t="s">
        <v>563</v>
      </c>
      <c r="I16" s="20" t="s">
        <v>564</v>
      </c>
    </row>
    <row r="17" spans="1:9" x14ac:dyDescent="0.35">
      <c r="A17" s="23" t="s">
        <v>552</v>
      </c>
      <c r="B17" s="23">
        <v>14.618813242792781</v>
      </c>
      <c r="C17" s="23">
        <v>0.82594864085841846</v>
      </c>
      <c r="D17" s="23">
        <v>17.69942163425473</v>
      </c>
      <c r="E17" s="23">
        <v>1.0201394045810819E-54</v>
      </c>
      <c r="F17" s="23">
        <v>12.996031795729284</v>
      </c>
      <c r="G17" s="23">
        <v>16.241594689856278</v>
      </c>
      <c r="H17" s="23">
        <v>12.996031795729284</v>
      </c>
      <c r="I17" s="23">
        <v>16.241594689856278</v>
      </c>
    </row>
    <row r="18" spans="1:9" x14ac:dyDescent="0.35">
      <c r="A18" s="23" t="s">
        <v>565</v>
      </c>
      <c r="B18" s="23">
        <v>-1.0292904540460576E-2</v>
      </c>
      <c r="C18" s="23">
        <v>3.3172790656957009E-3</v>
      </c>
      <c r="D18" s="23">
        <v>-3.1028153907521627</v>
      </c>
      <c r="E18" s="23">
        <v>2.0259993900667754E-3</v>
      </c>
      <c r="F18" s="23">
        <v>-1.6810523985839491E-2</v>
      </c>
      <c r="G18" s="23">
        <v>-3.775285095081661E-3</v>
      </c>
      <c r="H18" s="23">
        <v>-1.6810523985839491E-2</v>
      </c>
      <c r="I18" s="23">
        <v>-3.775285095081661E-3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6"/>
  <sheetViews>
    <sheetView topLeftCell="M1" workbookViewId="0">
      <selection activeCell="Q9" sqref="Q9"/>
    </sheetView>
  </sheetViews>
  <sheetFormatPr defaultRowHeight="14.5" x14ac:dyDescent="0.35"/>
  <cols>
    <col min="1" max="1" width="12.36328125" bestFit="1" customWidth="1"/>
    <col min="3" max="3" width="13" customWidth="1"/>
    <col min="5" max="5" width="14.26953125" customWidth="1"/>
    <col min="7" max="7" width="13" customWidth="1"/>
    <col min="8" max="8" width="21.7265625" bestFit="1" customWidth="1"/>
    <col min="10" max="10" width="12.36328125" customWidth="1"/>
    <col min="11" max="11" width="21.7265625" customWidth="1"/>
    <col min="13" max="13" width="14.26953125" customWidth="1"/>
    <col min="14" max="14" width="21.7265625" customWidth="1"/>
    <col min="16" max="16" width="23.1796875" customWidth="1"/>
    <col min="17" max="17" width="21.7265625" customWidth="1"/>
  </cols>
  <sheetData>
    <row r="3" spans="1:17" x14ac:dyDescent="0.35">
      <c r="A3" s="2" t="s">
        <v>571</v>
      </c>
      <c r="C3" s="2" t="s">
        <v>571</v>
      </c>
      <c r="E3" s="2" t="s">
        <v>571</v>
      </c>
      <c r="G3" s="2" t="s">
        <v>571</v>
      </c>
      <c r="H3" t="s">
        <v>585</v>
      </c>
      <c r="J3" s="2" t="s">
        <v>571</v>
      </c>
      <c r="K3" t="s">
        <v>585</v>
      </c>
      <c r="M3" s="2" t="s">
        <v>571</v>
      </c>
      <c r="N3" t="s">
        <v>585</v>
      </c>
      <c r="P3" t="s">
        <v>585</v>
      </c>
    </row>
    <row r="4" spans="1:17" x14ac:dyDescent="0.35">
      <c r="A4" s="3" t="s">
        <v>573</v>
      </c>
      <c r="C4" s="4" t="s">
        <v>17</v>
      </c>
      <c r="E4" s="4" t="s">
        <v>22</v>
      </c>
      <c r="G4" s="4" t="s">
        <v>17</v>
      </c>
      <c r="H4" s="5">
        <v>25072.929999999989</v>
      </c>
      <c r="J4" s="3" t="s">
        <v>573</v>
      </c>
      <c r="K4" s="5">
        <v>9356.1400000000012</v>
      </c>
      <c r="M4" s="4" t="s">
        <v>22</v>
      </c>
      <c r="N4" s="5">
        <v>15559.699999999995</v>
      </c>
      <c r="P4" s="5">
        <v>106479.22999999995</v>
      </c>
      <c r="Q4" s="6">
        <f>GETPIVOTDATA("discounted_price",$P$3)</f>
        <v>106479.22999999995</v>
      </c>
    </row>
    <row r="5" spans="1:17" x14ac:dyDescent="0.35">
      <c r="A5" s="3" t="s">
        <v>574</v>
      </c>
      <c r="C5" s="4" t="s">
        <v>20</v>
      </c>
      <c r="E5" s="4" t="s">
        <v>13</v>
      </c>
      <c r="G5" s="4" t="s">
        <v>20</v>
      </c>
      <c r="H5" s="5">
        <v>22370.459999999995</v>
      </c>
      <c r="J5" s="3" t="s">
        <v>574</v>
      </c>
      <c r="K5" s="5">
        <v>7975.2400000000025</v>
      </c>
      <c r="M5" s="4" t="s">
        <v>13</v>
      </c>
      <c r="N5" s="5">
        <v>18910.55</v>
      </c>
    </row>
    <row r="6" spans="1:17" x14ac:dyDescent="0.35">
      <c r="A6" s="3" t="s">
        <v>575</v>
      </c>
      <c r="C6" s="4" t="s">
        <v>21</v>
      </c>
      <c r="E6" s="4" t="s">
        <v>25</v>
      </c>
      <c r="G6" s="4" t="s">
        <v>21</v>
      </c>
      <c r="H6" s="5">
        <v>28909.940000000013</v>
      </c>
      <c r="J6" s="3" t="s">
        <v>575</v>
      </c>
      <c r="K6" s="5">
        <v>5511.8899999999994</v>
      </c>
      <c r="M6" s="4" t="s">
        <v>25</v>
      </c>
      <c r="N6" s="5">
        <v>19974.690000000002</v>
      </c>
    </row>
    <row r="7" spans="1:17" x14ac:dyDescent="0.35">
      <c r="A7" s="3" t="s">
        <v>576</v>
      </c>
      <c r="C7" s="4" t="s">
        <v>14</v>
      </c>
      <c r="E7" s="4" t="s">
        <v>16</v>
      </c>
      <c r="G7" s="4" t="s">
        <v>14</v>
      </c>
      <c r="H7" s="5">
        <v>30125.900000000005</v>
      </c>
      <c r="J7" s="3" t="s">
        <v>576</v>
      </c>
      <c r="K7" s="5">
        <v>11958.769999999999</v>
      </c>
      <c r="M7" s="4" t="s">
        <v>16</v>
      </c>
      <c r="N7" s="5">
        <v>16016.800000000001</v>
      </c>
      <c r="P7" t="s">
        <v>586</v>
      </c>
    </row>
    <row r="8" spans="1:17" x14ac:dyDescent="0.35">
      <c r="A8" s="3" t="s">
        <v>577</v>
      </c>
      <c r="C8" s="4" t="s">
        <v>572</v>
      </c>
      <c r="E8" s="4" t="s">
        <v>27</v>
      </c>
      <c r="G8" s="4" t="s">
        <v>572</v>
      </c>
      <c r="H8" s="5">
        <v>106479.23000000001</v>
      </c>
      <c r="J8" s="3" t="s">
        <v>577</v>
      </c>
      <c r="K8" s="5">
        <v>9535.4200000000019</v>
      </c>
      <c r="M8" s="4" t="s">
        <v>27</v>
      </c>
      <c r="N8" s="5">
        <v>15966.890000000005</v>
      </c>
      <c r="P8" s="5">
        <v>500</v>
      </c>
      <c r="Q8">
        <f>GETPIVOTDATA("discounted_price",$P$7)</f>
        <v>500</v>
      </c>
    </row>
    <row r="9" spans="1:17" x14ac:dyDescent="0.35">
      <c r="A9" s="3" t="s">
        <v>578</v>
      </c>
      <c r="E9" s="4" t="s">
        <v>19</v>
      </c>
      <c r="J9" s="3" t="s">
        <v>578</v>
      </c>
      <c r="K9" s="5">
        <v>5857.0399999999991</v>
      </c>
      <c r="M9" s="4" t="s">
        <v>19</v>
      </c>
      <c r="N9" s="5">
        <v>20050.599999999991</v>
      </c>
    </row>
    <row r="10" spans="1:17" x14ac:dyDescent="0.35">
      <c r="A10" s="3" t="s">
        <v>579</v>
      </c>
      <c r="E10" s="4" t="s">
        <v>572</v>
      </c>
      <c r="J10" s="3" t="s">
        <v>579</v>
      </c>
      <c r="K10" s="5">
        <v>9900.409999999998</v>
      </c>
      <c r="M10" s="4" t="s">
        <v>572</v>
      </c>
      <c r="N10" s="5">
        <v>106479.22999999998</v>
      </c>
    </row>
    <row r="11" spans="1:17" x14ac:dyDescent="0.35">
      <c r="A11" s="3" t="s">
        <v>580</v>
      </c>
      <c r="J11" s="3" t="s">
        <v>580</v>
      </c>
      <c r="K11" s="5">
        <v>7556.5400000000009</v>
      </c>
    </row>
    <row r="12" spans="1:17" x14ac:dyDescent="0.35">
      <c r="A12" s="3" t="s">
        <v>581</v>
      </c>
      <c r="J12" s="3" t="s">
        <v>581</v>
      </c>
      <c r="K12" s="5">
        <v>9171.380000000001</v>
      </c>
    </row>
    <row r="13" spans="1:17" x14ac:dyDescent="0.35">
      <c r="A13" s="3" t="s">
        <v>582</v>
      </c>
      <c r="J13" s="3" t="s">
        <v>582</v>
      </c>
      <c r="K13" s="5">
        <v>10342.939999999999</v>
      </c>
    </row>
    <row r="14" spans="1:17" x14ac:dyDescent="0.35">
      <c r="A14" s="3" t="s">
        <v>583</v>
      </c>
      <c r="J14" s="3" t="s">
        <v>583</v>
      </c>
      <c r="K14" s="5">
        <v>10207.849999999995</v>
      </c>
    </row>
    <row r="15" spans="1:17" x14ac:dyDescent="0.35">
      <c r="A15" s="3" t="s">
        <v>584</v>
      </c>
      <c r="J15" s="3" t="s">
        <v>584</v>
      </c>
      <c r="K15" s="5">
        <v>9105.6099999999988</v>
      </c>
    </row>
    <row r="16" spans="1:17" x14ac:dyDescent="0.35">
      <c r="A16" s="3" t="s">
        <v>572</v>
      </c>
      <c r="J16" s="3" t="s">
        <v>572</v>
      </c>
      <c r="K16" s="5">
        <v>106479.23000000001</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1"/>
  <sheetViews>
    <sheetView topLeftCell="H1" zoomScale="71" zoomScaleNormal="85" workbookViewId="0">
      <pane ySplit="1" topLeftCell="A2" activePane="bottomLeft" state="frozen"/>
      <selection pane="bottomLeft" activeCell="U6" sqref="U6"/>
    </sheetView>
  </sheetViews>
  <sheetFormatPr defaultRowHeight="14.5" x14ac:dyDescent="0.35"/>
  <cols>
    <col min="1" max="1" width="7.90625" customWidth="1"/>
    <col min="2" max="2" width="13.08984375" customWidth="1"/>
    <col min="3" max="3" width="9.54296875" customWidth="1"/>
    <col min="4" max="4" width="15.7265625" customWidth="1"/>
    <col min="5" max="5" width="10.54296875" customWidth="1"/>
    <col min="6" max="6" width="15.7265625" customWidth="1"/>
    <col min="7" max="7" width="12.36328125" customWidth="1"/>
    <col min="8" max="8" width="15.6328125" customWidth="1"/>
    <col min="9" max="9" width="16.36328125" customWidth="1"/>
    <col min="10" max="10" width="6.36328125" customWidth="1"/>
    <col min="11" max="11" width="12.6328125" customWidth="1"/>
    <col min="12" max="12" width="15.453125" customWidth="1"/>
    <col min="13" max="13" width="13.08984375" customWidth="1"/>
    <col min="14" max="14" width="1.81640625" customWidth="1"/>
    <col min="16" max="16" width="12.08984375" customWidth="1"/>
    <col min="17" max="17" width="2.1796875" customWidth="1"/>
    <col min="18" max="18" width="12.453125" customWidth="1"/>
    <col min="19" max="19" width="15.54296875" customWidth="1"/>
    <col min="21" max="21" width="78" customWidth="1"/>
  </cols>
  <sheetData>
    <row r="1" spans="1:21" x14ac:dyDescent="0.35">
      <c r="A1" s="7" t="s">
        <v>0</v>
      </c>
      <c r="B1" s="7" t="s">
        <v>1</v>
      </c>
      <c r="C1" s="7" t="s">
        <v>2</v>
      </c>
      <c r="D1" s="7" t="s">
        <v>3</v>
      </c>
      <c r="E1" s="7" t="s">
        <v>4</v>
      </c>
      <c r="F1" s="7" t="s">
        <v>5</v>
      </c>
      <c r="G1" s="7" t="s">
        <v>6</v>
      </c>
      <c r="H1" s="7" t="s">
        <v>7</v>
      </c>
      <c r="I1" s="7" t="s">
        <v>8</v>
      </c>
      <c r="J1" s="7" t="s">
        <v>9</v>
      </c>
      <c r="K1" s="7" t="s">
        <v>10</v>
      </c>
      <c r="L1" s="7" t="s">
        <v>11</v>
      </c>
      <c r="M1" s="7" t="s">
        <v>12</v>
      </c>
      <c r="O1" s="11" t="s">
        <v>566</v>
      </c>
      <c r="P1" s="11" t="s">
        <v>567</v>
      </c>
      <c r="R1" s="11" t="s">
        <v>568</v>
      </c>
      <c r="S1" s="11" t="s">
        <v>569</v>
      </c>
    </row>
    <row r="2" spans="1:21" x14ac:dyDescent="0.35">
      <c r="A2" s="8">
        <v>1</v>
      </c>
      <c r="B2" s="9">
        <v>44664</v>
      </c>
      <c r="C2" s="8" t="s">
        <v>28</v>
      </c>
      <c r="D2" s="8" t="s">
        <v>13</v>
      </c>
      <c r="E2" s="10">
        <v>128.75</v>
      </c>
      <c r="F2" s="8">
        <v>10</v>
      </c>
      <c r="G2" s="8">
        <v>4</v>
      </c>
      <c r="H2" s="8" t="s">
        <v>14</v>
      </c>
      <c r="I2" s="8" t="s">
        <v>15</v>
      </c>
      <c r="J2" s="8">
        <v>3.5</v>
      </c>
      <c r="K2" s="8">
        <v>443</v>
      </c>
      <c r="L2" s="10">
        <v>115.88</v>
      </c>
      <c r="M2" s="10">
        <v>463.52</v>
      </c>
      <c r="O2" s="14" t="str">
        <f>IF(M2 &gt; 1000, "High", "Low")</f>
        <v>Low</v>
      </c>
      <c r="P2" s="12" t="str">
        <f>IF(J2 &gt;= 4.5, "Excellent", IF(J2 &gt;= 3, "Good", "Poor"))</f>
        <v>Good</v>
      </c>
      <c r="R2" s="16">
        <v>17</v>
      </c>
      <c r="S2" s="15" t="str">
        <f>VLOOKUP(R2, A2:M22, 8, FALSE)</f>
        <v>Middle East</v>
      </c>
    </row>
    <row r="3" spans="1:21" x14ac:dyDescent="0.35">
      <c r="A3" s="8">
        <v>2</v>
      </c>
      <c r="B3" s="9">
        <v>44997</v>
      </c>
      <c r="C3" s="8" t="s">
        <v>29</v>
      </c>
      <c r="D3" s="8" t="s">
        <v>16</v>
      </c>
      <c r="E3" s="10">
        <v>302.60000000000002</v>
      </c>
      <c r="F3" s="8">
        <v>20</v>
      </c>
      <c r="G3" s="8">
        <v>5</v>
      </c>
      <c r="H3" s="8" t="s">
        <v>17</v>
      </c>
      <c r="I3" s="8" t="s">
        <v>18</v>
      </c>
      <c r="J3" s="8">
        <v>3.7</v>
      </c>
      <c r="K3" s="8">
        <v>475</v>
      </c>
      <c r="L3" s="10">
        <v>242.08</v>
      </c>
      <c r="M3" s="10">
        <v>1210.4000000000001</v>
      </c>
      <c r="O3" s="14" t="str">
        <f t="shared" ref="O3:O66" si="0">IF(M3 &gt; 1000, "High", "Low")</f>
        <v>High</v>
      </c>
      <c r="P3" s="12" t="str">
        <f t="shared" ref="P3:P66" si="1">IF(J3 &gt;= 4.5, "Excellent", IF(J3 &gt;= 3, "Good", "Poor"))</f>
        <v>Good</v>
      </c>
      <c r="U3" s="25" t="s">
        <v>587</v>
      </c>
    </row>
    <row r="4" spans="1:21" x14ac:dyDescent="0.35">
      <c r="A4" s="8">
        <v>3</v>
      </c>
      <c r="B4" s="9">
        <v>44832</v>
      </c>
      <c r="C4" s="8" t="s">
        <v>30</v>
      </c>
      <c r="D4" s="8" t="s">
        <v>19</v>
      </c>
      <c r="E4" s="10">
        <v>495.8</v>
      </c>
      <c r="F4" s="8">
        <v>20</v>
      </c>
      <c r="G4" s="8">
        <v>2</v>
      </c>
      <c r="H4" s="8" t="s">
        <v>20</v>
      </c>
      <c r="I4" s="8" t="s">
        <v>15</v>
      </c>
      <c r="J4" s="8">
        <v>4.4000000000000004</v>
      </c>
      <c r="K4" s="8">
        <v>183</v>
      </c>
      <c r="L4" s="10">
        <v>396.64</v>
      </c>
      <c r="M4" s="10">
        <v>793.28</v>
      </c>
      <c r="O4" s="14" t="str">
        <f t="shared" si="0"/>
        <v>Low</v>
      </c>
      <c r="P4" s="12" t="str">
        <f t="shared" si="1"/>
        <v>Good</v>
      </c>
      <c r="U4" s="25" t="s">
        <v>588</v>
      </c>
    </row>
    <row r="5" spans="1:21" x14ac:dyDescent="0.35">
      <c r="A5" s="8">
        <v>4</v>
      </c>
      <c r="B5" s="9">
        <v>44668</v>
      </c>
      <c r="C5" s="8" t="s">
        <v>31</v>
      </c>
      <c r="D5" s="8" t="s">
        <v>13</v>
      </c>
      <c r="E5" s="10">
        <v>371.95</v>
      </c>
      <c r="F5" s="8">
        <v>15</v>
      </c>
      <c r="G5" s="8">
        <v>4</v>
      </c>
      <c r="H5" s="8" t="s">
        <v>21</v>
      </c>
      <c r="I5" s="8" t="s">
        <v>15</v>
      </c>
      <c r="J5" s="8">
        <v>5</v>
      </c>
      <c r="K5" s="8">
        <v>212</v>
      </c>
      <c r="L5" s="10">
        <v>316.16000000000003</v>
      </c>
      <c r="M5" s="10">
        <v>1264.6400000000001</v>
      </c>
      <c r="O5" s="14" t="str">
        <f t="shared" si="0"/>
        <v>High</v>
      </c>
      <c r="P5" s="12" t="str">
        <f t="shared" si="1"/>
        <v>Excellent</v>
      </c>
      <c r="R5" s="11" t="s">
        <v>568</v>
      </c>
      <c r="S5" s="11" t="s">
        <v>570</v>
      </c>
    </row>
    <row r="6" spans="1:21" x14ac:dyDescent="0.35">
      <c r="A6" s="8">
        <v>5</v>
      </c>
      <c r="B6" s="9">
        <v>44633</v>
      </c>
      <c r="C6" s="8" t="s">
        <v>32</v>
      </c>
      <c r="D6" s="8" t="s">
        <v>22</v>
      </c>
      <c r="E6" s="10">
        <v>201.68</v>
      </c>
      <c r="F6" s="8">
        <v>0</v>
      </c>
      <c r="G6" s="8">
        <v>4</v>
      </c>
      <c r="H6" s="8" t="s">
        <v>21</v>
      </c>
      <c r="I6" s="8" t="s">
        <v>15</v>
      </c>
      <c r="J6" s="8">
        <v>4.5999999999999996</v>
      </c>
      <c r="K6" s="8">
        <v>308</v>
      </c>
      <c r="L6" s="10">
        <v>201.68</v>
      </c>
      <c r="M6" s="10">
        <v>806.72</v>
      </c>
      <c r="O6" s="14" t="str">
        <f t="shared" si="0"/>
        <v>Low</v>
      </c>
      <c r="P6" s="12" t="str">
        <f t="shared" si="1"/>
        <v>Excellent</v>
      </c>
      <c r="R6" s="15">
        <v>7</v>
      </c>
      <c r="S6" s="17">
        <f>INDEX(M:M, MATCH(R6, A:A, 0))</f>
        <v>78.900000000000006</v>
      </c>
    </row>
    <row r="7" spans="1:21" x14ac:dyDescent="0.35">
      <c r="A7" s="8">
        <v>6</v>
      </c>
      <c r="B7" s="9">
        <v>45262</v>
      </c>
      <c r="C7" s="8" t="s">
        <v>33</v>
      </c>
      <c r="D7" s="8" t="s">
        <v>19</v>
      </c>
      <c r="E7" s="10">
        <v>385.17</v>
      </c>
      <c r="F7" s="8">
        <v>30</v>
      </c>
      <c r="G7" s="8">
        <v>3</v>
      </c>
      <c r="H7" s="8" t="s">
        <v>17</v>
      </c>
      <c r="I7" s="8" t="s">
        <v>23</v>
      </c>
      <c r="J7" s="8">
        <v>3.8</v>
      </c>
      <c r="K7" s="8">
        <v>489</v>
      </c>
      <c r="L7" s="10">
        <v>269.62</v>
      </c>
      <c r="M7" s="10">
        <v>808.86</v>
      </c>
      <c r="O7" s="14" t="str">
        <f t="shared" si="0"/>
        <v>Low</v>
      </c>
      <c r="P7" s="12" t="str">
        <f t="shared" si="1"/>
        <v>Good</v>
      </c>
    </row>
    <row r="8" spans="1:21" x14ac:dyDescent="0.35">
      <c r="A8" s="8">
        <v>7</v>
      </c>
      <c r="B8" s="9">
        <v>44582</v>
      </c>
      <c r="C8" s="8" t="s">
        <v>34</v>
      </c>
      <c r="D8" s="8" t="s">
        <v>13</v>
      </c>
      <c r="E8" s="10">
        <v>15.78</v>
      </c>
      <c r="F8" s="8">
        <v>0</v>
      </c>
      <c r="G8" s="8">
        <v>5</v>
      </c>
      <c r="H8" s="8" t="s">
        <v>17</v>
      </c>
      <c r="I8" s="8" t="s">
        <v>15</v>
      </c>
      <c r="J8" s="8">
        <v>1.6</v>
      </c>
      <c r="K8" s="8">
        <v>415</v>
      </c>
      <c r="L8" s="10">
        <v>15.78</v>
      </c>
      <c r="M8" s="10">
        <v>78.900000000000006</v>
      </c>
      <c r="O8" s="14" t="str">
        <f t="shared" si="0"/>
        <v>Low</v>
      </c>
      <c r="P8" s="12" t="str">
        <f t="shared" si="1"/>
        <v>Poor</v>
      </c>
    </row>
    <row r="9" spans="1:21" x14ac:dyDescent="0.35">
      <c r="A9" s="8">
        <v>8</v>
      </c>
      <c r="B9" s="9">
        <v>45176</v>
      </c>
      <c r="C9" s="8" t="s">
        <v>35</v>
      </c>
      <c r="D9" s="8" t="s">
        <v>16</v>
      </c>
      <c r="E9" s="10">
        <v>111.59</v>
      </c>
      <c r="F9" s="8">
        <v>30</v>
      </c>
      <c r="G9" s="8">
        <v>4</v>
      </c>
      <c r="H9" s="8" t="s">
        <v>21</v>
      </c>
      <c r="I9" s="8" t="s">
        <v>15</v>
      </c>
      <c r="J9" s="8">
        <v>3.4</v>
      </c>
      <c r="K9" s="8">
        <v>143</v>
      </c>
      <c r="L9" s="10">
        <v>78.11</v>
      </c>
      <c r="M9" s="10">
        <v>312.44</v>
      </c>
      <c r="O9" s="14" t="str">
        <f t="shared" si="0"/>
        <v>Low</v>
      </c>
      <c r="P9" s="12" t="str">
        <f t="shared" si="1"/>
        <v>Good</v>
      </c>
    </row>
    <row r="10" spans="1:21" x14ac:dyDescent="0.35">
      <c r="A10" s="8">
        <v>9</v>
      </c>
      <c r="B10" s="9">
        <v>44683</v>
      </c>
      <c r="C10" s="8" t="s">
        <v>36</v>
      </c>
      <c r="D10" s="8" t="s">
        <v>13</v>
      </c>
      <c r="E10" s="10">
        <v>373.62</v>
      </c>
      <c r="F10" s="8">
        <v>0</v>
      </c>
      <c r="G10" s="8">
        <v>4</v>
      </c>
      <c r="H10" s="8" t="s">
        <v>17</v>
      </c>
      <c r="I10" s="8" t="s">
        <v>23</v>
      </c>
      <c r="J10" s="8">
        <v>2.8</v>
      </c>
      <c r="K10" s="8">
        <v>497</v>
      </c>
      <c r="L10" s="10">
        <v>373.62</v>
      </c>
      <c r="M10" s="10">
        <v>1494.48</v>
      </c>
      <c r="O10" s="14" t="str">
        <f t="shared" si="0"/>
        <v>High</v>
      </c>
      <c r="P10" s="12" t="str">
        <f t="shared" si="1"/>
        <v>Poor</v>
      </c>
    </row>
    <row r="11" spans="1:21" x14ac:dyDescent="0.35">
      <c r="A11" s="8">
        <v>10</v>
      </c>
      <c r="B11" s="9">
        <v>45028</v>
      </c>
      <c r="C11" s="8" t="s">
        <v>37</v>
      </c>
      <c r="D11" s="8" t="s">
        <v>19</v>
      </c>
      <c r="E11" s="10">
        <v>134.81</v>
      </c>
      <c r="F11" s="8">
        <v>15</v>
      </c>
      <c r="G11" s="8">
        <v>2</v>
      </c>
      <c r="H11" s="8" t="s">
        <v>21</v>
      </c>
      <c r="I11" s="8" t="s">
        <v>24</v>
      </c>
      <c r="J11" s="8">
        <v>2</v>
      </c>
      <c r="K11" s="8">
        <v>25</v>
      </c>
      <c r="L11" s="10">
        <v>114.59</v>
      </c>
      <c r="M11" s="10">
        <v>229.18</v>
      </c>
      <c r="O11" s="14" t="str">
        <f t="shared" si="0"/>
        <v>Low</v>
      </c>
      <c r="P11" s="12" t="str">
        <f t="shared" si="1"/>
        <v>Poor</v>
      </c>
    </row>
    <row r="12" spans="1:21" x14ac:dyDescent="0.35">
      <c r="A12" s="8">
        <v>11</v>
      </c>
      <c r="B12" s="9">
        <v>44776</v>
      </c>
      <c r="C12" s="8" t="s">
        <v>38</v>
      </c>
      <c r="D12" s="8" t="s">
        <v>25</v>
      </c>
      <c r="E12" s="10">
        <v>67.430000000000007</v>
      </c>
      <c r="F12" s="8">
        <v>20</v>
      </c>
      <c r="G12" s="8">
        <v>4</v>
      </c>
      <c r="H12" s="8" t="s">
        <v>20</v>
      </c>
      <c r="I12" s="8" t="s">
        <v>26</v>
      </c>
      <c r="J12" s="8">
        <v>4.3</v>
      </c>
      <c r="K12" s="8">
        <v>426</v>
      </c>
      <c r="L12" s="10">
        <v>53.94</v>
      </c>
      <c r="M12" s="10">
        <v>215.76</v>
      </c>
      <c r="O12" s="14" t="str">
        <f t="shared" si="0"/>
        <v>Low</v>
      </c>
      <c r="P12" s="12" t="str">
        <f t="shared" si="1"/>
        <v>Good</v>
      </c>
    </row>
    <row r="13" spans="1:21" x14ac:dyDescent="0.35">
      <c r="A13" s="8">
        <v>12</v>
      </c>
      <c r="B13" s="9">
        <v>44892</v>
      </c>
      <c r="C13" s="8" t="s">
        <v>39</v>
      </c>
      <c r="D13" s="8" t="s">
        <v>13</v>
      </c>
      <c r="E13" s="10">
        <v>150.19</v>
      </c>
      <c r="F13" s="8">
        <v>0</v>
      </c>
      <c r="G13" s="8">
        <v>1</v>
      </c>
      <c r="H13" s="8" t="s">
        <v>14</v>
      </c>
      <c r="I13" s="8" t="s">
        <v>24</v>
      </c>
      <c r="J13" s="8">
        <v>4.4000000000000004</v>
      </c>
      <c r="K13" s="8">
        <v>279</v>
      </c>
      <c r="L13" s="10">
        <v>150.19</v>
      </c>
      <c r="M13" s="10">
        <v>150.19</v>
      </c>
      <c r="O13" s="14" t="str">
        <f t="shared" si="0"/>
        <v>Low</v>
      </c>
      <c r="P13" s="12" t="str">
        <f t="shared" si="1"/>
        <v>Good</v>
      </c>
    </row>
    <row r="14" spans="1:21" x14ac:dyDescent="0.35">
      <c r="A14" s="8">
        <v>13</v>
      </c>
      <c r="B14" s="9">
        <v>45020</v>
      </c>
      <c r="C14" s="8" t="s">
        <v>40</v>
      </c>
      <c r="D14" s="8" t="s">
        <v>25</v>
      </c>
      <c r="E14" s="10">
        <v>89.81</v>
      </c>
      <c r="F14" s="8">
        <v>0</v>
      </c>
      <c r="G14" s="8">
        <v>3</v>
      </c>
      <c r="H14" s="8" t="s">
        <v>20</v>
      </c>
      <c r="I14" s="8" t="s">
        <v>15</v>
      </c>
      <c r="J14" s="8">
        <v>3.6</v>
      </c>
      <c r="K14" s="8">
        <v>151</v>
      </c>
      <c r="L14" s="10">
        <v>89.81</v>
      </c>
      <c r="M14" s="10">
        <v>269.43</v>
      </c>
      <c r="O14" s="14" t="str">
        <f t="shared" si="0"/>
        <v>Low</v>
      </c>
      <c r="P14" s="12" t="str">
        <f t="shared" si="1"/>
        <v>Good</v>
      </c>
    </row>
    <row r="15" spans="1:21" x14ac:dyDescent="0.35">
      <c r="A15" s="8">
        <v>14</v>
      </c>
      <c r="B15" s="9">
        <v>44649</v>
      </c>
      <c r="C15" s="8" t="s">
        <v>41</v>
      </c>
      <c r="D15" s="8" t="s">
        <v>27</v>
      </c>
      <c r="E15" s="10">
        <v>213.22</v>
      </c>
      <c r="F15" s="8">
        <v>0</v>
      </c>
      <c r="G15" s="8">
        <v>3</v>
      </c>
      <c r="H15" s="8" t="s">
        <v>20</v>
      </c>
      <c r="I15" s="8" t="s">
        <v>18</v>
      </c>
      <c r="J15" s="8">
        <v>1.4</v>
      </c>
      <c r="K15" s="8">
        <v>239</v>
      </c>
      <c r="L15" s="10">
        <v>213.22</v>
      </c>
      <c r="M15" s="10">
        <v>639.66</v>
      </c>
      <c r="O15" s="14" t="str">
        <f t="shared" si="0"/>
        <v>Low</v>
      </c>
      <c r="P15" s="12" t="str">
        <f t="shared" si="1"/>
        <v>Poor</v>
      </c>
    </row>
    <row r="16" spans="1:21" x14ac:dyDescent="0.35">
      <c r="A16" s="8">
        <v>15</v>
      </c>
      <c r="B16" s="9">
        <v>44934</v>
      </c>
      <c r="C16" s="8" t="s">
        <v>42</v>
      </c>
      <c r="D16" s="8" t="s">
        <v>22</v>
      </c>
      <c r="E16" s="10">
        <v>66.650000000000006</v>
      </c>
      <c r="F16" s="8">
        <v>10</v>
      </c>
      <c r="G16" s="8">
        <v>2</v>
      </c>
      <c r="H16" s="8" t="s">
        <v>14</v>
      </c>
      <c r="I16" s="8" t="s">
        <v>26</v>
      </c>
      <c r="J16" s="8">
        <v>4.5999999999999996</v>
      </c>
      <c r="K16" s="8">
        <v>262</v>
      </c>
      <c r="L16" s="10">
        <v>59.99</v>
      </c>
      <c r="M16" s="10">
        <v>119.98</v>
      </c>
      <c r="O16" s="14" t="str">
        <f t="shared" si="0"/>
        <v>Low</v>
      </c>
      <c r="P16" s="12" t="str">
        <f t="shared" si="1"/>
        <v>Excellent</v>
      </c>
    </row>
    <row r="17" spans="1:16" x14ac:dyDescent="0.35">
      <c r="A17" s="8">
        <v>16</v>
      </c>
      <c r="B17" s="9">
        <v>44661</v>
      </c>
      <c r="C17" s="8" t="s">
        <v>43</v>
      </c>
      <c r="D17" s="8" t="s">
        <v>25</v>
      </c>
      <c r="E17" s="10">
        <v>419.66</v>
      </c>
      <c r="F17" s="8">
        <v>0</v>
      </c>
      <c r="G17" s="8">
        <v>3</v>
      </c>
      <c r="H17" s="8" t="s">
        <v>21</v>
      </c>
      <c r="I17" s="8" t="s">
        <v>18</v>
      </c>
      <c r="J17" s="8">
        <v>2.7</v>
      </c>
      <c r="K17" s="8">
        <v>46</v>
      </c>
      <c r="L17" s="10">
        <v>419.66</v>
      </c>
      <c r="M17" s="10">
        <v>1258.98</v>
      </c>
      <c r="O17" s="14" t="str">
        <f t="shared" si="0"/>
        <v>High</v>
      </c>
      <c r="P17" s="12" t="str">
        <f t="shared" si="1"/>
        <v>Poor</v>
      </c>
    </row>
    <row r="18" spans="1:16" x14ac:dyDescent="0.35">
      <c r="A18" s="8">
        <v>17</v>
      </c>
      <c r="B18" s="9">
        <v>45225</v>
      </c>
      <c r="C18" s="8" t="s">
        <v>44</v>
      </c>
      <c r="D18" s="8" t="s">
        <v>19</v>
      </c>
      <c r="E18" s="10">
        <v>391.09</v>
      </c>
      <c r="F18" s="8">
        <v>5</v>
      </c>
      <c r="G18" s="8">
        <v>3</v>
      </c>
      <c r="H18" s="8" t="s">
        <v>21</v>
      </c>
      <c r="I18" s="8" t="s">
        <v>18</v>
      </c>
      <c r="J18" s="8">
        <v>3.7</v>
      </c>
      <c r="K18" s="8">
        <v>51</v>
      </c>
      <c r="L18" s="10">
        <v>371.54</v>
      </c>
      <c r="M18" s="10">
        <v>1114.6199999999999</v>
      </c>
      <c r="O18" s="14" t="str">
        <f t="shared" si="0"/>
        <v>High</v>
      </c>
      <c r="P18" s="12" t="str">
        <f t="shared" si="1"/>
        <v>Good</v>
      </c>
    </row>
    <row r="19" spans="1:16" x14ac:dyDescent="0.35">
      <c r="A19" s="8">
        <v>18</v>
      </c>
      <c r="B19" s="9">
        <v>44692</v>
      </c>
      <c r="C19" s="8" t="s">
        <v>45</v>
      </c>
      <c r="D19" s="8" t="s">
        <v>27</v>
      </c>
      <c r="E19" s="10">
        <v>156.94999999999999</v>
      </c>
      <c r="F19" s="8">
        <v>30</v>
      </c>
      <c r="G19" s="8">
        <v>3</v>
      </c>
      <c r="H19" s="8" t="s">
        <v>21</v>
      </c>
      <c r="I19" s="8" t="s">
        <v>24</v>
      </c>
      <c r="J19" s="8">
        <v>2.9</v>
      </c>
      <c r="K19" s="8">
        <v>354</v>
      </c>
      <c r="L19" s="10">
        <v>109.86</v>
      </c>
      <c r="M19" s="10">
        <v>329.58</v>
      </c>
      <c r="O19" s="14" t="str">
        <f t="shared" si="0"/>
        <v>Low</v>
      </c>
      <c r="P19" s="12" t="str">
        <f t="shared" si="1"/>
        <v>Poor</v>
      </c>
    </row>
    <row r="20" spans="1:16" x14ac:dyDescent="0.35">
      <c r="A20" s="8">
        <v>19</v>
      </c>
      <c r="B20" s="9">
        <v>45223</v>
      </c>
      <c r="C20" s="8" t="s">
        <v>46</v>
      </c>
      <c r="D20" s="8" t="s">
        <v>27</v>
      </c>
      <c r="E20" s="10">
        <v>262.36</v>
      </c>
      <c r="F20" s="8">
        <v>10</v>
      </c>
      <c r="G20" s="8">
        <v>1</v>
      </c>
      <c r="H20" s="8" t="s">
        <v>17</v>
      </c>
      <c r="I20" s="8" t="s">
        <v>23</v>
      </c>
      <c r="J20" s="8">
        <v>4.5999999999999996</v>
      </c>
      <c r="K20" s="8">
        <v>473</v>
      </c>
      <c r="L20" s="10">
        <v>236.12</v>
      </c>
      <c r="M20" s="10">
        <v>236.12</v>
      </c>
      <c r="O20" s="14" t="str">
        <f t="shared" si="0"/>
        <v>Low</v>
      </c>
      <c r="P20" s="12" t="str">
        <f t="shared" si="1"/>
        <v>Excellent</v>
      </c>
    </row>
    <row r="21" spans="1:16" x14ac:dyDescent="0.35">
      <c r="A21" s="8">
        <v>20</v>
      </c>
      <c r="B21" s="9">
        <v>44870</v>
      </c>
      <c r="C21" s="8" t="s">
        <v>47</v>
      </c>
      <c r="D21" s="8" t="s">
        <v>16</v>
      </c>
      <c r="E21" s="10">
        <v>428.24</v>
      </c>
      <c r="F21" s="8">
        <v>30</v>
      </c>
      <c r="G21" s="8">
        <v>3</v>
      </c>
      <c r="H21" s="8" t="s">
        <v>21</v>
      </c>
      <c r="I21" s="8" t="s">
        <v>23</v>
      </c>
      <c r="J21" s="8">
        <v>1.2</v>
      </c>
      <c r="K21" s="8">
        <v>331</v>
      </c>
      <c r="L21" s="10">
        <v>299.77</v>
      </c>
      <c r="M21" s="10">
        <v>899.31</v>
      </c>
      <c r="O21" s="14" t="str">
        <f t="shared" si="0"/>
        <v>Low</v>
      </c>
      <c r="P21" s="12" t="str">
        <f t="shared" si="1"/>
        <v>Poor</v>
      </c>
    </row>
    <row r="22" spans="1:16" x14ac:dyDescent="0.35">
      <c r="A22" s="8">
        <v>21</v>
      </c>
      <c r="B22" s="9">
        <v>44905</v>
      </c>
      <c r="C22" s="8" t="s">
        <v>48</v>
      </c>
      <c r="D22" s="8" t="s">
        <v>27</v>
      </c>
      <c r="E22" s="10">
        <v>464.87</v>
      </c>
      <c r="F22" s="8">
        <v>10</v>
      </c>
      <c r="G22" s="8">
        <v>3</v>
      </c>
      <c r="H22" s="8" t="s">
        <v>14</v>
      </c>
      <c r="I22" s="8" t="s">
        <v>23</v>
      </c>
      <c r="J22" s="8">
        <v>3.8</v>
      </c>
      <c r="K22" s="8">
        <v>490</v>
      </c>
      <c r="L22" s="10">
        <v>418.38</v>
      </c>
      <c r="M22" s="10">
        <v>1255.1400000000001</v>
      </c>
      <c r="O22" s="14" t="str">
        <f t="shared" si="0"/>
        <v>High</v>
      </c>
      <c r="P22" s="12" t="str">
        <f t="shared" si="1"/>
        <v>Good</v>
      </c>
    </row>
    <row r="23" spans="1:16" x14ac:dyDescent="0.35">
      <c r="A23" s="8">
        <v>22</v>
      </c>
      <c r="B23" s="9">
        <v>45053</v>
      </c>
      <c r="C23" s="8" t="s">
        <v>49</v>
      </c>
      <c r="D23" s="8" t="s">
        <v>22</v>
      </c>
      <c r="E23" s="10">
        <v>50.09</v>
      </c>
      <c r="F23" s="8">
        <v>0</v>
      </c>
      <c r="G23" s="8">
        <v>1</v>
      </c>
      <c r="H23" s="8" t="s">
        <v>20</v>
      </c>
      <c r="I23" s="8" t="s">
        <v>15</v>
      </c>
      <c r="J23" s="8">
        <v>4.3</v>
      </c>
      <c r="K23" s="8">
        <v>34</v>
      </c>
      <c r="L23" s="10">
        <v>50.09</v>
      </c>
      <c r="M23" s="10">
        <v>50.09</v>
      </c>
      <c r="O23" s="14" t="str">
        <f t="shared" si="0"/>
        <v>Low</v>
      </c>
      <c r="P23" s="12" t="str">
        <f t="shared" si="1"/>
        <v>Good</v>
      </c>
    </row>
    <row r="24" spans="1:16" x14ac:dyDescent="0.35">
      <c r="A24" s="8">
        <v>23</v>
      </c>
      <c r="B24" s="9">
        <v>44975</v>
      </c>
      <c r="C24" s="8" t="s">
        <v>50</v>
      </c>
      <c r="D24" s="8" t="s">
        <v>22</v>
      </c>
      <c r="E24" s="10">
        <v>362.4</v>
      </c>
      <c r="F24" s="8">
        <v>15</v>
      </c>
      <c r="G24" s="8">
        <v>2</v>
      </c>
      <c r="H24" s="8" t="s">
        <v>14</v>
      </c>
      <c r="I24" s="8" t="s">
        <v>26</v>
      </c>
      <c r="J24" s="8">
        <v>2.4</v>
      </c>
      <c r="K24" s="8">
        <v>318</v>
      </c>
      <c r="L24" s="10">
        <v>308.04000000000002</v>
      </c>
      <c r="M24" s="10">
        <v>616.08000000000004</v>
      </c>
      <c r="O24" s="14" t="str">
        <f t="shared" si="0"/>
        <v>Low</v>
      </c>
      <c r="P24" s="12" t="str">
        <f t="shared" si="1"/>
        <v>Poor</v>
      </c>
    </row>
    <row r="25" spans="1:16" x14ac:dyDescent="0.35">
      <c r="A25" s="8">
        <v>24</v>
      </c>
      <c r="B25" s="9">
        <v>44947</v>
      </c>
      <c r="C25" s="8" t="s">
        <v>51</v>
      </c>
      <c r="D25" s="8" t="s">
        <v>22</v>
      </c>
      <c r="E25" s="10">
        <v>72.05</v>
      </c>
      <c r="F25" s="8">
        <v>20</v>
      </c>
      <c r="G25" s="8">
        <v>2</v>
      </c>
      <c r="H25" s="8" t="s">
        <v>21</v>
      </c>
      <c r="I25" s="8" t="s">
        <v>26</v>
      </c>
      <c r="J25" s="8">
        <v>4.4000000000000004</v>
      </c>
      <c r="K25" s="8">
        <v>129</v>
      </c>
      <c r="L25" s="10">
        <v>57.64</v>
      </c>
      <c r="M25" s="10">
        <v>115.28</v>
      </c>
      <c r="O25" s="14" t="str">
        <f t="shared" si="0"/>
        <v>Low</v>
      </c>
      <c r="P25" s="12" t="str">
        <f t="shared" si="1"/>
        <v>Good</v>
      </c>
    </row>
    <row r="26" spans="1:16" x14ac:dyDescent="0.35">
      <c r="A26" s="8">
        <v>25</v>
      </c>
      <c r="B26" s="9">
        <v>44753</v>
      </c>
      <c r="C26" s="8" t="s">
        <v>52</v>
      </c>
      <c r="D26" s="8" t="s">
        <v>22</v>
      </c>
      <c r="E26" s="10">
        <v>14.92</v>
      </c>
      <c r="F26" s="8">
        <v>15</v>
      </c>
      <c r="G26" s="8">
        <v>1</v>
      </c>
      <c r="H26" s="8" t="s">
        <v>21</v>
      </c>
      <c r="I26" s="8" t="s">
        <v>23</v>
      </c>
      <c r="J26" s="8">
        <v>1</v>
      </c>
      <c r="K26" s="8">
        <v>498</v>
      </c>
      <c r="L26" s="10">
        <v>12.68</v>
      </c>
      <c r="M26" s="10">
        <v>12.68</v>
      </c>
      <c r="O26" s="14" t="str">
        <f t="shared" si="0"/>
        <v>Low</v>
      </c>
      <c r="P26" s="12" t="str">
        <f t="shared" si="1"/>
        <v>Poor</v>
      </c>
    </row>
    <row r="27" spans="1:16" x14ac:dyDescent="0.35">
      <c r="A27" s="8">
        <v>26</v>
      </c>
      <c r="B27" s="9">
        <v>44838</v>
      </c>
      <c r="C27" s="8" t="s">
        <v>53</v>
      </c>
      <c r="D27" s="8" t="s">
        <v>16</v>
      </c>
      <c r="E27" s="10">
        <v>44.08</v>
      </c>
      <c r="F27" s="8">
        <v>15</v>
      </c>
      <c r="G27" s="8">
        <v>1</v>
      </c>
      <c r="H27" s="8" t="s">
        <v>20</v>
      </c>
      <c r="I27" s="8" t="s">
        <v>26</v>
      </c>
      <c r="J27" s="8">
        <v>1.1000000000000001</v>
      </c>
      <c r="K27" s="8">
        <v>303</v>
      </c>
      <c r="L27" s="10">
        <v>37.47</v>
      </c>
      <c r="M27" s="10">
        <v>37.47</v>
      </c>
      <c r="O27" s="14" t="str">
        <f t="shared" si="0"/>
        <v>Low</v>
      </c>
      <c r="P27" s="12" t="str">
        <f t="shared" si="1"/>
        <v>Poor</v>
      </c>
    </row>
    <row r="28" spans="1:16" x14ac:dyDescent="0.35">
      <c r="A28" s="8">
        <v>27</v>
      </c>
      <c r="B28" s="9">
        <v>44722</v>
      </c>
      <c r="C28" s="8" t="s">
        <v>54</v>
      </c>
      <c r="D28" s="8" t="s">
        <v>13</v>
      </c>
      <c r="E28" s="10">
        <v>290.06</v>
      </c>
      <c r="F28" s="8">
        <v>20</v>
      </c>
      <c r="G28" s="8">
        <v>5</v>
      </c>
      <c r="H28" s="8" t="s">
        <v>17</v>
      </c>
      <c r="I28" s="8" t="s">
        <v>18</v>
      </c>
      <c r="J28" s="8">
        <v>4.0999999999999996</v>
      </c>
      <c r="K28" s="8">
        <v>35</v>
      </c>
      <c r="L28" s="10">
        <v>232.05</v>
      </c>
      <c r="M28" s="10">
        <v>1160.25</v>
      </c>
      <c r="O28" s="14" t="str">
        <f t="shared" si="0"/>
        <v>High</v>
      </c>
      <c r="P28" s="12" t="str">
        <f t="shared" si="1"/>
        <v>Good</v>
      </c>
    </row>
    <row r="29" spans="1:16" x14ac:dyDescent="0.35">
      <c r="A29" s="8">
        <v>28</v>
      </c>
      <c r="B29" s="9">
        <v>45021</v>
      </c>
      <c r="C29" s="8" t="s">
        <v>55</v>
      </c>
      <c r="D29" s="8" t="s">
        <v>19</v>
      </c>
      <c r="E29" s="10">
        <v>191.67</v>
      </c>
      <c r="F29" s="8">
        <v>10</v>
      </c>
      <c r="G29" s="8">
        <v>5</v>
      </c>
      <c r="H29" s="8" t="s">
        <v>17</v>
      </c>
      <c r="I29" s="8" t="s">
        <v>24</v>
      </c>
      <c r="J29" s="8">
        <v>4.3</v>
      </c>
      <c r="K29" s="8">
        <v>106</v>
      </c>
      <c r="L29" s="10">
        <v>172.5</v>
      </c>
      <c r="M29" s="10">
        <v>862.5</v>
      </c>
      <c r="O29" s="14" t="str">
        <f t="shared" si="0"/>
        <v>Low</v>
      </c>
      <c r="P29" s="12" t="str">
        <f t="shared" si="1"/>
        <v>Good</v>
      </c>
    </row>
    <row r="30" spans="1:16" x14ac:dyDescent="0.35">
      <c r="A30" s="8">
        <v>29</v>
      </c>
      <c r="B30" s="9">
        <v>44875</v>
      </c>
      <c r="C30" s="8" t="s">
        <v>56</v>
      </c>
      <c r="D30" s="8" t="s">
        <v>19</v>
      </c>
      <c r="E30" s="10">
        <v>63.74</v>
      </c>
      <c r="F30" s="8">
        <v>10</v>
      </c>
      <c r="G30" s="8">
        <v>1</v>
      </c>
      <c r="H30" s="8" t="s">
        <v>20</v>
      </c>
      <c r="I30" s="8" t="s">
        <v>24</v>
      </c>
      <c r="J30" s="8">
        <v>4.0999999999999996</v>
      </c>
      <c r="K30" s="8">
        <v>318</v>
      </c>
      <c r="L30" s="10">
        <v>57.37</v>
      </c>
      <c r="M30" s="10">
        <v>57.37</v>
      </c>
      <c r="O30" s="14" t="str">
        <f t="shared" si="0"/>
        <v>Low</v>
      </c>
      <c r="P30" s="12" t="str">
        <f t="shared" si="1"/>
        <v>Good</v>
      </c>
    </row>
    <row r="31" spans="1:16" x14ac:dyDescent="0.35">
      <c r="A31" s="8">
        <v>30</v>
      </c>
      <c r="B31" s="9">
        <v>44583</v>
      </c>
      <c r="C31" s="8" t="s">
        <v>57</v>
      </c>
      <c r="D31" s="8" t="s">
        <v>25</v>
      </c>
      <c r="E31" s="10">
        <v>239.79</v>
      </c>
      <c r="F31" s="8">
        <v>15</v>
      </c>
      <c r="G31" s="8">
        <v>5</v>
      </c>
      <c r="H31" s="8" t="s">
        <v>14</v>
      </c>
      <c r="I31" s="8" t="s">
        <v>18</v>
      </c>
      <c r="J31" s="8">
        <v>2.8</v>
      </c>
      <c r="K31" s="8">
        <v>150</v>
      </c>
      <c r="L31" s="10">
        <v>203.82</v>
      </c>
      <c r="M31" s="10">
        <v>1019.1</v>
      </c>
      <c r="O31" s="14" t="str">
        <f t="shared" si="0"/>
        <v>High</v>
      </c>
      <c r="P31" s="12" t="str">
        <f t="shared" si="1"/>
        <v>Poor</v>
      </c>
    </row>
    <row r="32" spans="1:16" x14ac:dyDescent="0.35">
      <c r="A32" s="8">
        <v>31</v>
      </c>
      <c r="B32" s="9">
        <v>44814</v>
      </c>
      <c r="C32" s="8" t="s">
        <v>58</v>
      </c>
      <c r="D32" s="8" t="s">
        <v>16</v>
      </c>
      <c r="E32" s="10">
        <v>256.57</v>
      </c>
      <c r="F32" s="8">
        <v>20</v>
      </c>
      <c r="G32" s="8">
        <v>2</v>
      </c>
      <c r="H32" s="8" t="s">
        <v>14</v>
      </c>
      <c r="I32" s="8" t="s">
        <v>18</v>
      </c>
      <c r="J32" s="8">
        <v>3.6</v>
      </c>
      <c r="K32" s="8">
        <v>269</v>
      </c>
      <c r="L32" s="10">
        <v>205.26</v>
      </c>
      <c r="M32" s="10">
        <v>410.52</v>
      </c>
      <c r="O32" s="14" t="str">
        <f t="shared" si="0"/>
        <v>Low</v>
      </c>
      <c r="P32" s="12" t="str">
        <f t="shared" si="1"/>
        <v>Good</v>
      </c>
    </row>
    <row r="33" spans="1:16" x14ac:dyDescent="0.35">
      <c r="A33" s="8">
        <v>32</v>
      </c>
      <c r="B33" s="9">
        <v>45122</v>
      </c>
      <c r="C33" s="8" t="s">
        <v>59</v>
      </c>
      <c r="D33" s="8" t="s">
        <v>19</v>
      </c>
      <c r="E33" s="10">
        <v>394.76</v>
      </c>
      <c r="F33" s="8">
        <v>10</v>
      </c>
      <c r="G33" s="8">
        <v>3</v>
      </c>
      <c r="H33" s="8" t="s">
        <v>14</v>
      </c>
      <c r="I33" s="8" t="s">
        <v>15</v>
      </c>
      <c r="J33" s="8">
        <v>3.7</v>
      </c>
      <c r="K33" s="8">
        <v>382</v>
      </c>
      <c r="L33" s="10">
        <v>355.28</v>
      </c>
      <c r="M33" s="10">
        <v>1065.8399999999999</v>
      </c>
      <c r="O33" s="14" t="str">
        <f t="shared" si="0"/>
        <v>High</v>
      </c>
      <c r="P33" s="12" t="str">
        <f t="shared" si="1"/>
        <v>Good</v>
      </c>
    </row>
    <row r="34" spans="1:16" x14ac:dyDescent="0.35">
      <c r="A34" s="8">
        <v>33</v>
      </c>
      <c r="B34" s="9">
        <v>45036</v>
      </c>
      <c r="C34" s="8" t="s">
        <v>60</v>
      </c>
      <c r="D34" s="8" t="s">
        <v>16</v>
      </c>
      <c r="E34" s="10">
        <v>333.51</v>
      </c>
      <c r="F34" s="8">
        <v>0</v>
      </c>
      <c r="G34" s="8">
        <v>5</v>
      </c>
      <c r="H34" s="8" t="s">
        <v>20</v>
      </c>
      <c r="I34" s="8" t="s">
        <v>23</v>
      </c>
      <c r="J34" s="8">
        <v>4.0999999999999996</v>
      </c>
      <c r="K34" s="8">
        <v>196</v>
      </c>
      <c r="L34" s="10">
        <v>333.51</v>
      </c>
      <c r="M34" s="10">
        <v>1667.55</v>
      </c>
      <c r="O34" s="14" t="str">
        <f t="shared" si="0"/>
        <v>High</v>
      </c>
      <c r="P34" s="12" t="str">
        <f t="shared" si="1"/>
        <v>Good</v>
      </c>
    </row>
    <row r="35" spans="1:16" x14ac:dyDescent="0.35">
      <c r="A35" s="8">
        <v>34</v>
      </c>
      <c r="B35" s="9">
        <v>44620</v>
      </c>
      <c r="C35" s="8" t="s">
        <v>61</v>
      </c>
      <c r="D35" s="8" t="s">
        <v>25</v>
      </c>
      <c r="E35" s="10">
        <v>235.65</v>
      </c>
      <c r="F35" s="8">
        <v>5</v>
      </c>
      <c r="G35" s="8">
        <v>3</v>
      </c>
      <c r="H35" s="8" t="s">
        <v>14</v>
      </c>
      <c r="I35" s="8" t="s">
        <v>24</v>
      </c>
      <c r="J35" s="8">
        <v>4.3</v>
      </c>
      <c r="K35" s="8">
        <v>448</v>
      </c>
      <c r="L35" s="10">
        <v>223.87</v>
      </c>
      <c r="M35" s="10">
        <v>671.61</v>
      </c>
      <c r="O35" s="14" t="str">
        <f t="shared" si="0"/>
        <v>Low</v>
      </c>
      <c r="P35" s="12" t="str">
        <f t="shared" si="1"/>
        <v>Good</v>
      </c>
    </row>
    <row r="36" spans="1:16" x14ac:dyDescent="0.35">
      <c r="A36" s="8">
        <v>35</v>
      </c>
      <c r="B36" s="9">
        <v>45072</v>
      </c>
      <c r="C36" s="8" t="s">
        <v>62</v>
      </c>
      <c r="D36" s="8" t="s">
        <v>19</v>
      </c>
      <c r="E36" s="10">
        <v>165.55</v>
      </c>
      <c r="F36" s="8">
        <v>5</v>
      </c>
      <c r="G36" s="8">
        <v>2</v>
      </c>
      <c r="H36" s="8" t="s">
        <v>14</v>
      </c>
      <c r="I36" s="8" t="s">
        <v>23</v>
      </c>
      <c r="J36" s="8">
        <v>5</v>
      </c>
      <c r="K36" s="8">
        <v>149</v>
      </c>
      <c r="L36" s="10">
        <v>157.27000000000001</v>
      </c>
      <c r="M36" s="10">
        <v>314.54000000000002</v>
      </c>
      <c r="O36" s="14" t="str">
        <f t="shared" si="0"/>
        <v>Low</v>
      </c>
      <c r="P36" s="12" t="str">
        <f t="shared" si="1"/>
        <v>Excellent</v>
      </c>
    </row>
    <row r="37" spans="1:16" x14ac:dyDescent="0.35">
      <c r="A37" s="8">
        <v>36</v>
      </c>
      <c r="B37" s="9">
        <v>45243</v>
      </c>
      <c r="C37" s="8" t="s">
        <v>63</v>
      </c>
      <c r="D37" s="8" t="s">
        <v>25</v>
      </c>
      <c r="E37" s="10">
        <v>5.99</v>
      </c>
      <c r="F37" s="8">
        <v>20</v>
      </c>
      <c r="G37" s="8">
        <v>2</v>
      </c>
      <c r="H37" s="8" t="s">
        <v>14</v>
      </c>
      <c r="I37" s="8" t="s">
        <v>15</v>
      </c>
      <c r="J37" s="8">
        <v>4.5</v>
      </c>
      <c r="K37" s="8">
        <v>89</v>
      </c>
      <c r="L37" s="10">
        <v>4.79</v>
      </c>
      <c r="M37" s="10">
        <v>9.58</v>
      </c>
      <c r="O37" s="14" t="str">
        <f t="shared" si="0"/>
        <v>Low</v>
      </c>
      <c r="P37" s="12" t="str">
        <f t="shared" si="1"/>
        <v>Excellent</v>
      </c>
    </row>
    <row r="38" spans="1:16" x14ac:dyDescent="0.35">
      <c r="A38" s="8">
        <v>37</v>
      </c>
      <c r="B38" s="9">
        <v>45037</v>
      </c>
      <c r="C38" s="8" t="s">
        <v>64</v>
      </c>
      <c r="D38" s="8" t="s">
        <v>13</v>
      </c>
      <c r="E38" s="10">
        <v>416.86</v>
      </c>
      <c r="F38" s="8">
        <v>10</v>
      </c>
      <c r="G38" s="8">
        <v>3</v>
      </c>
      <c r="H38" s="8" t="s">
        <v>20</v>
      </c>
      <c r="I38" s="8" t="s">
        <v>18</v>
      </c>
      <c r="J38" s="8">
        <v>1.9</v>
      </c>
      <c r="K38" s="8">
        <v>484</v>
      </c>
      <c r="L38" s="10">
        <v>375.17</v>
      </c>
      <c r="M38" s="10">
        <v>1125.51</v>
      </c>
      <c r="O38" s="14" t="str">
        <f t="shared" si="0"/>
        <v>High</v>
      </c>
      <c r="P38" s="12" t="str">
        <f t="shared" si="1"/>
        <v>Poor</v>
      </c>
    </row>
    <row r="39" spans="1:16" x14ac:dyDescent="0.35">
      <c r="A39" s="8">
        <v>38</v>
      </c>
      <c r="B39" s="9">
        <v>45261</v>
      </c>
      <c r="C39" s="8" t="s">
        <v>65</v>
      </c>
      <c r="D39" s="8" t="s">
        <v>13</v>
      </c>
      <c r="E39" s="10">
        <v>137.16</v>
      </c>
      <c r="F39" s="8">
        <v>15</v>
      </c>
      <c r="G39" s="8">
        <v>3</v>
      </c>
      <c r="H39" s="8" t="s">
        <v>14</v>
      </c>
      <c r="I39" s="8" t="s">
        <v>15</v>
      </c>
      <c r="J39" s="8">
        <v>1.3</v>
      </c>
      <c r="K39" s="8">
        <v>86</v>
      </c>
      <c r="L39" s="10">
        <v>116.59</v>
      </c>
      <c r="M39" s="10">
        <v>349.77</v>
      </c>
      <c r="O39" s="14" t="str">
        <f t="shared" si="0"/>
        <v>Low</v>
      </c>
      <c r="P39" s="12" t="str">
        <f t="shared" si="1"/>
        <v>Poor</v>
      </c>
    </row>
    <row r="40" spans="1:16" x14ac:dyDescent="0.35">
      <c r="A40" s="8">
        <v>39</v>
      </c>
      <c r="B40" s="9">
        <v>44751</v>
      </c>
      <c r="C40" s="8" t="s">
        <v>66</v>
      </c>
      <c r="D40" s="8" t="s">
        <v>22</v>
      </c>
      <c r="E40" s="10">
        <v>110.54</v>
      </c>
      <c r="F40" s="8">
        <v>30</v>
      </c>
      <c r="G40" s="8">
        <v>4</v>
      </c>
      <c r="H40" s="8" t="s">
        <v>20</v>
      </c>
      <c r="I40" s="8" t="s">
        <v>18</v>
      </c>
      <c r="J40" s="8">
        <v>3.5</v>
      </c>
      <c r="K40" s="8">
        <v>4</v>
      </c>
      <c r="L40" s="10">
        <v>77.38</v>
      </c>
      <c r="M40" s="10">
        <v>309.52</v>
      </c>
      <c r="O40" s="14" t="str">
        <f t="shared" si="0"/>
        <v>Low</v>
      </c>
      <c r="P40" s="12" t="str">
        <f t="shared" si="1"/>
        <v>Good</v>
      </c>
    </row>
    <row r="41" spans="1:16" x14ac:dyDescent="0.35">
      <c r="A41" s="8">
        <v>40</v>
      </c>
      <c r="B41" s="9">
        <v>45248</v>
      </c>
      <c r="C41" s="8" t="s">
        <v>67</v>
      </c>
      <c r="D41" s="8" t="s">
        <v>19</v>
      </c>
      <c r="E41" s="10">
        <v>368.63</v>
      </c>
      <c r="F41" s="8">
        <v>0</v>
      </c>
      <c r="G41" s="8">
        <v>4</v>
      </c>
      <c r="H41" s="8" t="s">
        <v>17</v>
      </c>
      <c r="I41" s="8" t="s">
        <v>26</v>
      </c>
      <c r="J41" s="8">
        <v>3.9</v>
      </c>
      <c r="K41" s="8">
        <v>405</v>
      </c>
      <c r="L41" s="10">
        <v>368.63</v>
      </c>
      <c r="M41" s="10">
        <v>1474.52</v>
      </c>
      <c r="O41" s="14" t="str">
        <f t="shared" si="0"/>
        <v>High</v>
      </c>
      <c r="P41" s="12" t="str">
        <f t="shared" si="1"/>
        <v>Good</v>
      </c>
    </row>
    <row r="42" spans="1:16" x14ac:dyDescent="0.35">
      <c r="A42" s="8">
        <v>41</v>
      </c>
      <c r="B42" s="9">
        <v>45124</v>
      </c>
      <c r="C42" s="8" t="s">
        <v>68</v>
      </c>
      <c r="D42" s="8" t="s">
        <v>13</v>
      </c>
      <c r="E42" s="10">
        <v>40.47</v>
      </c>
      <c r="F42" s="8">
        <v>15</v>
      </c>
      <c r="G42" s="8">
        <v>1</v>
      </c>
      <c r="H42" s="8" t="s">
        <v>21</v>
      </c>
      <c r="I42" s="8" t="s">
        <v>18</v>
      </c>
      <c r="J42" s="8">
        <v>3.7</v>
      </c>
      <c r="K42" s="8">
        <v>418</v>
      </c>
      <c r="L42" s="10">
        <v>34.4</v>
      </c>
      <c r="M42" s="10">
        <v>34.4</v>
      </c>
      <c r="O42" s="14" t="str">
        <f t="shared" si="0"/>
        <v>Low</v>
      </c>
      <c r="P42" s="12" t="str">
        <f t="shared" si="1"/>
        <v>Good</v>
      </c>
    </row>
    <row r="43" spans="1:16" x14ac:dyDescent="0.35">
      <c r="A43" s="8">
        <v>42</v>
      </c>
      <c r="B43" s="9">
        <v>45128</v>
      </c>
      <c r="C43" s="8" t="s">
        <v>69</v>
      </c>
      <c r="D43" s="8" t="s">
        <v>13</v>
      </c>
      <c r="E43" s="10">
        <v>135</v>
      </c>
      <c r="F43" s="8">
        <v>30</v>
      </c>
      <c r="G43" s="8">
        <v>5</v>
      </c>
      <c r="H43" s="8" t="s">
        <v>20</v>
      </c>
      <c r="I43" s="8" t="s">
        <v>24</v>
      </c>
      <c r="J43" s="8">
        <v>3.9</v>
      </c>
      <c r="K43" s="8">
        <v>469</v>
      </c>
      <c r="L43" s="10">
        <v>94.5</v>
      </c>
      <c r="M43" s="10">
        <v>472.5</v>
      </c>
      <c r="O43" s="14" t="str">
        <f t="shared" si="0"/>
        <v>Low</v>
      </c>
      <c r="P43" s="12" t="str">
        <f t="shared" si="1"/>
        <v>Good</v>
      </c>
    </row>
    <row r="44" spans="1:16" x14ac:dyDescent="0.35">
      <c r="A44" s="8">
        <v>43</v>
      </c>
      <c r="B44" s="9">
        <v>44805</v>
      </c>
      <c r="C44" s="8" t="s">
        <v>70</v>
      </c>
      <c r="D44" s="8" t="s">
        <v>25</v>
      </c>
      <c r="E44" s="10">
        <v>220.35</v>
      </c>
      <c r="F44" s="8">
        <v>15</v>
      </c>
      <c r="G44" s="8">
        <v>5</v>
      </c>
      <c r="H44" s="8" t="s">
        <v>14</v>
      </c>
      <c r="I44" s="8" t="s">
        <v>24</v>
      </c>
      <c r="J44" s="8">
        <v>3.1</v>
      </c>
      <c r="K44" s="8">
        <v>146</v>
      </c>
      <c r="L44" s="10">
        <v>187.3</v>
      </c>
      <c r="M44" s="10">
        <v>936.5</v>
      </c>
      <c r="O44" s="14" t="str">
        <f t="shared" si="0"/>
        <v>Low</v>
      </c>
      <c r="P44" s="12" t="str">
        <f t="shared" si="1"/>
        <v>Good</v>
      </c>
    </row>
    <row r="45" spans="1:16" x14ac:dyDescent="0.35">
      <c r="A45" s="8">
        <v>44</v>
      </c>
      <c r="B45" s="9">
        <v>45066</v>
      </c>
      <c r="C45" s="8" t="s">
        <v>71</v>
      </c>
      <c r="D45" s="8" t="s">
        <v>27</v>
      </c>
      <c r="E45" s="10">
        <v>223.58</v>
      </c>
      <c r="F45" s="8">
        <v>5</v>
      </c>
      <c r="G45" s="8">
        <v>3</v>
      </c>
      <c r="H45" s="8" t="s">
        <v>21</v>
      </c>
      <c r="I45" s="8" t="s">
        <v>23</v>
      </c>
      <c r="J45" s="8">
        <v>3.5</v>
      </c>
      <c r="K45" s="8">
        <v>238</v>
      </c>
      <c r="L45" s="10">
        <v>212.4</v>
      </c>
      <c r="M45" s="10">
        <v>637.20000000000005</v>
      </c>
      <c r="O45" s="14" t="str">
        <f t="shared" si="0"/>
        <v>Low</v>
      </c>
      <c r="P45" s="12" t="str">
        <f t="shared" si="1"/>
        <v>Good</v>
      </c>
    </row>
    <row r="46" spans="1:16" x14ac:dyDescent="0.35">
      <c r="A46" s="8">
        <v>45</v>
      </c>
      <c r="B46" s="9">
        <v>44692</v>
      </c>
      <c r="C46" s="8" t="s">
        <v>72</v>
      </c>
      <c r="D46" s="8" t="s">
        <v>22</v>
      </c>
      <c r="E46" s="10">
        <v>83.13</v>
      </c>
      <c r="F46" s="8">
        <v>20</v>
      </c>
      <c r="G46" s="8">
        <v>1</v>
      </c>
      <c r="H46" s="8" t="s">
        <v>21</v>
      </c>
      <c r="I46" s="8" t="s">
        <v>23</v>
      </c>
      <c r="J46" s="8">
        <v>2.6</v>
      </c>
      <c r="K46" s="8">
        <v>71</v>
      </c>
      <c r="L46" s="10">
        <v>66.5</v>
      </c>
      <c r="M46" s="10">
        <v>66.5</v>
      </c>
      <c r="O46" s="14" t="str">
        <f t="shared" si="0"/>
        <v>Low</v>
      </c>
      <c r="P46" s="12" t="str">
        <f t="shared" si="1"/>
        <v>Poor</v>
      </c>
    </row>
    <row r="47" spans="1:16" x14ac:dyDescent="0.35">
      <c r="A47" s="8">
        <v>46</v>
      </c>
      <c r="B47" s="9">
        <v>45046</v>
      </c>
      <c r="C47" s="8" t="s">
        <v>73</v>
      </c>
      <c r="D47" s="8" t="s">
        <v>22</v>
      </c>
      <c r="E47" s="10">
        <v>24.86</v>
      </c>
      <c r="F47" s="8">
        <v>5</v>
      </c>
      <c r="G47" s="8">
        <v>5</v>
      </c>
      <c r="H47" s="8" t="s">
        <v>21</v>
      </c>
      <c r="I47" s="8" t="s">
        <v>26</v>
      </c>
      <c r="J47" s="8">
        <v>4</v>
      </c>
      <c r="K47" s="8">
        <v>224</v>
      </c>
      <c r="L47" s="10">
        <v>23.62</v>
      </c>
      <c r="M47" s="10">
        <v>118.1</v>
      </c>
      <c r="O47" s="14" t="str">
        <f t="shared" si="0"/>
        <v>Low</v>
      </c>
      <c r="P47" s="12" t="str">
        <f t="shared" si="1"/>
        <v>Good</v>
      </c>
    </row>
    <row r="48" spans="1:16" x14ac:dyDescent="0.35">
      <c r="A48" s="8">
        <v>47</v>
      </c>
      <c r="B48" s="9">
        <v>45208</v>
      </c>
      <c r="C48" s="8" t="s">
        <v>74</v>
      </c>
      <c r="D48" s="8" t="s">
        <v>16</v>
      </c>
      <c r="E48" s="10">
        <v>237.91</v>
      </c>
      <c r="F48" s="8">
        <v>20</v>
      </c>
      <c r="G48" s="8">
        <v>3</v>
      </c>
      <c r="H48" s="8" t="s">
        <v>14</v>
      </c>
      <c r="I48" s="8" t="s">
        <v>24</v>
      </c>
      <c r="J48" s="8">
        <v>2.1</v>
      </c>
      <c r="K48" s="8">
        <v>366</v>
      </c>
      <c r="L48" s="10">
        <v>190.33</v>
      </c>
      <c r="M48" s="10">
        <v>570.99</v>
      </c>
      <c r="O48" s="14" t="str">
        <f t="shared" si="0"/>
        <v>Low</v>
      </c>
      <c r="P48" s="12" t="str">
        <f t="shared" si="1"/>
        <v>Poor</v>
      </c>
    </row>
    <row r="49" spans="1:16" x14ac:dyDescent="0.35">
      <c r="A49" s="8">
        <v>48</v>
      </c>
      <c r="B49" s="9">
        <v>44582</v>
      </c>
      <c r="C49" s="8" t="s">
        <v>75</v>
      </c>
      <c r="D49" s="8" t="s">
        <v>13</v>
      </c>
      <c r="E49" s="10">
        <v>181.94</v>
      </c>
      <c r="F49" s="8">
        <v>5</v>
      </c>
      <c r="G49" s="8">
        <v>2</v>
      </c>
      <c r="H49" s="8" t="s">
        <v>17</v>
      </c>
      <c r="I49" s="8" t="s">
        <v>18</v>
      </c>
      <c r="J49" s="8">
        <v>4.2</v>
      </c>
      <c r="K49" s="8">
        <v>5</v>
      </c>
      <c r="L49" s="10">
        <v>172.84</v>
      </c>
      <c r="M49" s="10">
        <v>345.68</v>
      </c>
      <c r="O49" s="14" t="str">
        <f t="shared" si="0"/>
        <v>Low</v>
      </c>
      <c r="P49" s="12" t="str">
        <f t="shared" si="1"/>
        <v>Good</v>
      </c>
    </row>
    <row r="50" spans="1:16" x14ac:dyDescent="0.35">
      <c r="A50" s="8">
        <v>49</v>
      </c>
      <c r="B50" s="9">
        <v>44728</v>
      </c>
      <c r="C50" s="8" t="s">
        <v>76</v>
      </c>
      <c r="D50" s="8" t="s">
        <v>13</v>
      </c>
      <c r="E50" s="10">
        <v>146</v>
      </c>
      <c r="F50" s="8">
        <v>15</v>
      </c>
      <c r="G50" s="8">
        <v>2</v>
      </c>
      <c r="H50" s="8" t="s">
        <v>17</v>
      </c>
      <c r="I50" s="8" t="s">
        <v>26</v>
      </c>
      <c r="J50" s="8">
        <v>4.5</v>
      </c>
      <c r="K50" s="8">
        <v>157</v>
      </c>
      <c r="L50" s="10">
        <v>124.1</v>
      </c>
      <c r="M50" s="10">
        <v>248.2</v>
      </c>
      <c r="O50" s="14" t="str">
        <f t="shared" si="0"/>
        <v>Low</v>
      </c>
      <c r="P50" s="12" t="str">
        <f t="shared" si="1"/>
        <v>Excellent</v>
      </c>
    </row>
    <row r="51" spans="1:16" x14ac:dyDescent="0.35">
      <c r="A51" s="8">
        <v>50</v>
      </c>
      <c r="B51" s="9">
        <v>44835</v>
      </c>
      <c r="C51" s="8" t="s">
        <v>77</v>
      </c>
      <c r="D51" s="8" t="s">
        <v>25</v>
      </c>
      <c r="E51" s="10">
        <v>138.96</v>
      </c>
      <c r="F51" s="8">
        <v>20</v>
      </c>
      <c r="G51" s="8">
        <v>1</v>
      </c>
      <c r="H51" s="8" t="s">
        <v>21</v>
      </c>
      <c r="I51" s="8" t="s">
        <v>24</v>
      </c>
      <c r="J51" s="8">
        <v>3.4</v>
      </c>
      <c r="K51" s="8">
        <v>451</v>
      </c>
      <c r="L51" s="10">
        <v>111.17</v>
      </c>
      <c r="M51" s="10">
        <v>111.17</v>
      </c>
      <c r="O51" s="14" t="str">
        <f t="shared" si="0"/>
        <v>Low</v>
      </c>
      <c r="P51" s="12" t="str">
        <f t="shared" si="1"/>
        <v>Good</v>
      </c>
    </row>
    <row r="52" spans="1:16" x14ac:dyDescent="0.35">
      <c r="A52" s="8">
        <v>51</v>
      </c>
      <c r="B52" s="9">
        <v>44949</v>
      </c>
      <c r="C52" s="8" t="s">
        <v>78</v>
      </c>
      <c r="D52" s="8" t="s">
        <v>13</v>
      </c>
      <c r="E52" s="10">
        <v>254.57</v>
      </c>
      <c r="F52" s="8">
        <v>15</v>
      </c>
      <c r="G52" s="8">
        <v>3</v>
      </c>
      <c r="H52" s="8" t="s">
        <v>21</v>
      </c>
      <c r="I52" s="8" t="s">
        <v>24</v>
      </c>
      <c r="J52" s="8">
        <v>2.5</v>
      </c>
      <c r="K52" s="8">
        <v>361</v>
      </c>
      <c r="L52" s="10">
        <v>216.38</v>
      </c>
      <c r="M52" s="10">
        <v>649.14</v>
      </c>
      <c r="O52" s="14" t="str">
        <f t="shared" si="0"/>
        <v>Low</v>
      </c>
      <c r="P52" s="12" t="str">
        <f t="shared" si="1"/>
        <v>Poor</v>
      </c>
    </row>
    <row r="53" spans="1:16" x14ac:dyDescent="0.35">
      <c r="A53" s="8">
        <v>52</v>
      </c>
      <c r="B53" s="9">
        <v>45162</v>
      </c>
      <c r="C53" s="8" t="s">
        <v>79</v>
      </c>
      <c r="D53" s="8" t="s">
        <v>16</v>
      </c>
      <c r="E53" s="10">
        <v>15.72</v>
      </c>
      <c r="F53" s="8">
        <v>20</v>
      </c>
      <c r="G53" s="8">
        <v>2</v>
      </c>
      <c r="H53" s="8" t="s">
        <v>17</v>
      </c>
      <c r="I53" s="8" t="s">
        <v>26</v>
      </c>
      <c r="J53" s="8">
        <v>3.3</v>
      </c>
      <c r="K53" s="8">
        <v>429</v>
      </c>
      <c r="L53" s="10">
        <v>12.58</v>
      </c>
      <c r="M53" s="10">
        <v>25.16</v>
      </c>
      <c r="O53" s="14" t="str">
        <f t="shared" si="0"/>
        <v>Low</v>
      </c>
      <c r="P53" s="12" t="str">
        <f t="shared" si="1"/>
        <v>Good</v>
      </c>
    </row>
    <row r="54" spans="1:16" x14ac:dyDescent="0.35">
      <c r="A54" s="8">
        <v>53</v>
      </c>
      <c r="B54" s="9">
        <v>44877</v>
      </c>
      <c r="C54" s="8" t="s">
        <v>80</v>
      </c>
      <c r="D54" s="8" t="s">
        <v>25</v>
      </c>
      <c r="E54" s="10">
        <v>57.51</v>
      </c>
      <c r="F54" s="8">
        <v>5</v>
      </c>
      <c r="G54" s="8">
        <v>3</v>
      </c>
      <c r="H54" s="8" t="s">
        <v>17</v>
      </c>
      <c r="I54" s="8" t="s">
        <v>24</v>
      </c>
      <c r="J54" s="8">
        <v>2</v>
      </c>
      <c r="K54" s="8">
        <v>178</v>
      </c>
      <c r="L54" s="10">
        <v>54.63</v>
      </c>
      <c r="M54" s="10">
        <v>163.89</v>
      </c>
      <c r="O54" s="14" t="str">
        <f t="shared" si="0"/>
        <v>Low</v>
      </c>
      <c r="P54" s="12" t="str">
        <f t="shared" si="1"/>
        <v>Poor</v>
      </c>
    </row>
    <row r="55" spans="1:16" x14ac:dyDescent="0.35">
      <c r="A55" s="8">
        <v>54</v>
      </c>
      <c r="B55" s="9">
        <v>44575</v>
      </c>
      <c r="C55" s="8" t="s">
        <v>81</v>
      </c>
      <c r="D55" s="8" t="s">
        <v>22</v>
      </c>
      <c r="E55" s="10">
        <v>165.98</v>
      </c>
      <c r="F55" s="8">
        <v>5</v>
      </c>
      <c r="G55" s="8">
        <v>1</v>
      </c>
      <c r="H55" s="8" t="s">
        <v>17</v>
      </c>
      <c r="I55" s="8" t="s">
        <v>15</v>
      </c>
      <c r="J55" s="8">
        <v>3.6</v>
      </c>
      <c r="K55" s="8">
        <v>348</v>
      </c>
      <c r="L55" s="10">
        <v>157.68</v>
      </c>
      <c r="M55" s="10">
        <v>157.68</v>
      </c>
      <c r="O55" s="14" t="str">
        <f t="shared" si="0"/>
        <v>Low</v>
      </c>
      <c r="P55" s="12" t="str">
        <f t="shared" si="1"/>
        <v>Good</v>
      </c>
    </row>
    <row r="56" spans="1:16" x14ac:dyDescent="0.35">
      <c r="A56" s="8">
        <v>55</v>
      </c>
      <c r="B56" s="9">
        <v>44803</v>
      </c>
      <c r="C56" s="8" t="s">
        <v>82</v>
      </c>
      <c r="D56" s="8" t="s">
        <v>13</v>
      </c>
      <c r="E56" s="10">
        <v>242.51</v>
      </c>
      <c r="F56" s="8">
        <v>5</v>
      </c>
      <c r="G56" s="8">
        <v>2</v>
      </c>
      <c r="H56" s="8" t="s">
        <v>17</v>
      </c>
      <c r="I56" s="8" t="s">
        <v>24</v>
      </c>
      <c r="J56" s="8">
        <v>4.0999999999999996</v>
      </c>
      <c r="K56" s="8">
        <v>201</v>
      </c>
      <c r="L56" s="10">
        <v>230.38</v>
      </c>
      <c r="M56" s="10">
        <v>460.76</v>
      </c>
      <c r="O56" s="14" t="str">
        <f t="shared" si="0"/>
        <v>Low</v>
      </c>
      <c r="P56" s="12" t="str">
        <f t="shared" si="1"/>
        <v>Good</v>
      </c>
    </row>
    <row r="57" spans="1:16" x14ac:dyDescent="0.35">
      <c r="A57" s="8">
        <v>56</v>
      </c>
      <c r="B57" s="9">
        <v>44907</v>
      </c>
      <c r="C57" s="8" t="s">
        <v>83</v>
      </c>
      <c r="D57" s="8" t="s">
        <v>13</v>
      </c>
      <c r="E57" s="10">
        <v>348.44</v>
      </c>
      <c r="F57" s="8">
        <v>20</v>
      </c>
      <c r="G57" s="8">
        <v>4</v>
      </c>
      <c r="H57" s="8" t="s">
        <v>14</v>
      </c>
      <c r="I57" s="8" t="s">
        <v>24</v>
      </c>
      <c r="J57" s="8">
        <v>1.2</v>
      </c>
      <c r="K57" s="8">
        <v>57</v>
      </c>
      <c r="L57" s="10">
        <v>278.75</v>
      </c>
      <c r="M57" s="10">
        <v>1115</v>
      </c>
      <c r="O57" s="14" t="str">
        <f t="shared" si="0"/>
        <v>High</v>
      </c>
      <c r="P57" s="12" t="str">
        <f t="shared" si="1"/>
        <v>Poor</v>
      </c>
    </row>
    <row r="58" spans="1:16" x14ac:dyDescent="0.35">
      <c r="A58" s="8">
        <v>57</v>
      </c>
      <c r="B58" s="9">
        <v>45126</v>
      </c>
      <c r="C58" s="8" t="s">
        <v>84</v>
      </c>
      <c r="D58" s="8" t="s">
        <v>16</v>
      </c>
      <c r="E58" s="10">
        <v>150.09</v>
      </c>
      <c r="F58" s="8">
        <v>10</v>
      </c>
      <c r="G58" s="8">
        <v>4</v>
      </c>
      <c r="H58" s="8" t="s">
        <v>20</v>
      </c>
      <c r="I58" s="8" t="s">
        <v>24</v>
      </c>
      <c r="J58" s="8">
        <v>2.2999999999999998</v>
      </c>
      <c r="K58" s="8">
        <v>363</v>
      </c>
      <c r="L58" s="10">
        <v>135.08000000000001</v>
      </c>
      <c r="M58" s="10">
        <v>540.32000000000005</v>
      </c>
      <c r="O58" s="14" t="str">
        <f t="shared" si="0"/>
        <v>Low</v>
      </c>
      <c r="P58" s="12" t="str">
        <f t="shared" si="1"/>
        <v>Poor</v>
      </c>
    </row>
    <row r="59" spans="1:16" x14ac:dyDescent="0.35">
      <c r="A59" s="8">
        <v>58</v>
      </c>
      <c r="B59" s="9">
        <v>44901</v>
      </c>
      <c r="C59" s="8" t="s">
        <v>85</v>
      </c>
      <c r="D59" s="8" t="s">
        <v>19</v>
      </c>
      <c r="E59" s="10">
        <v>335.19</v>
      </c>
      <c r="F59" s="8">
        <v>0</v>
      </c>
      <c r="G59" s="8">
        <v>4</v>
      </c>
      <c r="H59" s="8" t="s">
        <v>21</v>
      </c>
      <c r="I59" s="8" t="s">
        <v>23</v>
      </c>
      <c r="J59" s="8">
        <v>3.1</v>
      </c>
      <c r="K59" s="8">
        <v>389</v>
      </c>
      <c r="L59" s="10">
        <v>335.19</v>
      </c>
      <c r="M59" s="10">
        <v>1340.76</v>
      </c>
      <c r="O59" s="14" t="str">
        <f t="shared" si="0"/>
        <v>High</v>
      </c>
      <c r="P59" s="12" t="str">
        <f t="shared" si="1"/>
        <v>Good</v>
      </c>
    </row>
    <row r="60" spans="1:16" x14ac:dyDescent="0.35">
      <c r="A60" s="8">
        <v>59</v>
      </c>
      <c r="B60" s="9">
        <v>44653</v>
      </c>
      <c r="C60" s="8" t="s">
        <v>86</v>
      </c>
      <c r="D60" s="8" t="s">
        <v>16</v>
      </c>
      <c r="E60" s="10">
        <v>196.64</v>
      </c>
      <c r="F60" s="8">
        <v>20</v>
      </c>
      <c r="G60" s="8">
        <v>2</v>
      </c>
      <c r="H60" s="8" t="s">
        <v>17</v>
      </c>
      <c r="I60" s="8" t="s">
        <v>18</v>
      </c>
      <c r="J60" s="8">
        <v>2.1</v>
      </c>
      <c r="K60" s="8">
        <v>206</v>
      </c>
      <c r="L60" s="10">
        <v>157.31</v>
      </c>
      <c r="M60" s="10">
        <v>314.62</v>
      </c>
      <c r="O60" s="14" t="str">
        <f t="shared" si="0"/>
        <v>Low</v>
      </c>
      <c r="P60" s="12" t="str">
        <f t="shared" si="1"/>
        <v>Poor</v>
      </c>
    </row>
    <row r="61" spans="1:16" x14ac:dyDescent="0.35">
      <c r="A61" s="8">
        <v>60</v>
      </c>
      <c r="B61" s="9">
        <v>44928</v>
      </c>
      <c r="C61" s="8" t="s">
        <v>87</v>
      </c>
      <c r="D61" s="8" t="s">
        <v>25</v>
      </c>
      <c r="E61" s="10">
        <v>388.49</v>
      </c>
      <c r="F61" s="8">
        <v>20</v>
      </c>
      <c r="G61" s="8">
        <v>5</v>
      </c>
      <c r="H61" s="8" t="s">
        <v>14</v>
      </c>
      <c r="I61" s="8" t="s">
        <v>23</v>
      </c>
      <c r="J61" s="8">
        <v>1.3</v>
      </c>
      <c r="K61" s="8">
        <v>220</v>
      </c>
      <c r="L61" s="10">
        <v>310.79000000000002</v>
      </c>
      <c r="M61" s="10">
        <v>1553.95</v>
      </c>
      <c r="O61" s="14" t="str">
        <f t="shared" si="0"/>
        <v>High</v>
      </c>
      <c r="P61" s="12" t="str">
        <f t="shared" si="1"/>
        <v>Poor</v>
      </c>
    </row>
    <row r="62" spans="1:16" x14ac:dyDescent="0.35">
      <c r="A62" s="8">
        <v>61</v>
      </c>
      <c r="B62" s="9">
        <v>45016</v>
      </c>
      <c r="C62" s="8" t="s">
        <v>88</v>
      </c>
      <c r="D62" s="8" t="s">
        <v>22</v>
      </c>
      <c r="E62" s="10">
        <v>242.91</v>
      </c>
      <c r="F62" s="8">
        <v>10</v>
      </c>
      <c r="G62" s="8">
        <v>2</v>
      </c>
      <c r="H62" s="8" t="s">
        <v>17</v>
      </c>
      <c r="I62" s="8" t="s">
        <v>23</v>
      </c>
      <c r="J62" s="8">
        <v>3.2</v>
      </c>
      <c r="K62" s="8">
        <v>286</v>
      </c>
      <c r="L62" s="10">
        <v>218.62</v>
      </c>
      <c r="M62" s="10">
        <v>437.24</v>
      </c>
      <c r="O62" s="14" t="str">
        <f t="shared" si="0"/>
        <v>Low</v>
      </c>
      <c r="P62" s="12" t="str">
        <f t="shared" si="1"/>
        <v>Good</v>
      </c>
    </row>
    <row r="63" spans="1:16" x14ac:dyDescent="0.35">
      <c r="A63" s="8">
        <v>62</v>
      </c>
      <c r="B63" s="9">
        <v>44989</v>
      </c>
      <c r="C63" s="8" t="s">
        <v>89</v>
      </c>
      <c r="D63" s="8" t="s">
        <v>19</v>
      </c>
      <c r="E63" s="10">
        <v>272.99</v>
      </c>
      <c r="F63" s="8">
        <v>30</v>
      </c>
      <c r="G63" s="8">
        <v>1</v>
      </c>
      <c r="H63" s="8" t="s">
        <v>21</v>
      </c>
      <c r="I63" s="8" t="s">
        <v>24</v>
      </c>
      <c r="J63" s="8">
        <v>4.5999999999999996</v>
      </c>
      <c r="K63" s="8">
        <v>389</v>
      </c>
      <c r="L63" s="10">
        <v>191.09</v>
      </c>
      <c r="M63" s="10">
        <v>191.09</v>
      </c>
      <c r="O63" s="14" t="str">
        <f t="shared" si="0"/>
        <v>Low</v>
      </c>
      <c r="P63" s="12" t="str">
        <f t="shared" si="1"/>
        <v>Excellent</v>
      </c>
    </row>
    <row r="64" spans="1:16" x14ac:dyDescent="0.35">
      <c r="A64" s="8">
        <v>63</v>
      </c>
      <c r="B64" s="9">
        <v>45070</v>
      </c>
      <c r="C64" s="8" t="s">
        <v>90</v>
      </c>
      <c r="D64" s="8" t="s">
        <v>19</v>
      </c>
      <c r="E64" s="10">
        <v>220.36</v>
      </c>
      <c r="F64" s="8">
        <v>5</v>
      </c>
      <c r="G64" s="8">
        <v>4</v>
      </c>
      <c r="H64" s="8" t="s">
        <v>21</v>
      </c>
      <c r="I64" s="8" t="s">
        <v>24</v>
      </c>
      <c r="J64" s="8">
        <v>3.9</v>
      </c>
      <c r="K64" s="8">
        <v>208</v>
      </c>
      <c r="L64" s="10">
        <v>209.34</v>
      </c>
      <c r="M64" s="10">
        <v>837.36</v>
      </c>
      <c r="O64" s="14" t="str">
        <f t="shared" si="0"/>
        <v>Low</v>
      </c>
      <c r="P64" s="12" t="str">
        <f t="shared" si="1"/>
        <v>Good</v>
      </c>
    </row>
    <row r="65" spans="1:16" x14ac:dyDescent="0.35">
      <c r="A65" s="8">
        <v>64</v>
      </c>
      <c r="B65" s="9">
        <v>44596</v>
      </c>
      <c r="C65" s="8" t="s">
        <v>91</v>
      </c>
      <c r="D65" s="8" t="s">
        <v>16</v>
      </c>
      <c r="E65" s="10">
        <v>70.78</v>
      </c>
      <c r="F65" s="8">
        <v>15</v>
      </c>
      <c r="G65" s="8">
        <v>1</v>
      </c>
      <c r="H65" s="8" t="s">
        <v>20</v>
      </c>
      <c r="I65" s="8" t="s">
        <v>15</v>
      </c>
      <c r="J65" s="8">
        <v>2.4</v>
      </c>
      <c r="K65" s="8">
        <v>486</v>
      </c>
      <c r="L65" s="10">
        <v>60.16</v>
      </c>
      <c r="M65" s="10">
        <v>60.16</v>
      </c>
      <c r="O65" s="14" t="str">
        <f t="shared" si="0"/>
        <v>Low</v>
      </c>
      <c r="P65" s="12" t="str">
        <f t="shared" si="1"/>
        <v>Poor</v>
      </c>
    </row>
    <row r="66" spans="1:16" x14ac:dyDescent="0.35">
      <c r="A66" s="8">
        <v>65</v>
      </c>
      <c r="B66" s="9">
        <v>44767</v>
      </c>
      <c r="C66" s="8" t="s">
        <v>92</v>
      </c>
      <c r="D66" s="8" t="s">
        <v>16</v>
      </c>
      <c r="E66" s="10">
        <v>89.73</v>
      </c>
      <c r="F66" s="8">
        <v>0</v>
      </c>
      <c r="G66" s="8">
        <v>5</v>
      </c>
      <c r="H66" s="8" t="s">
        <v>17</v>
      </c>
      <c r="I66" s="8" t="s">
        <v>24</v>
      </c>
      <c r="J66" s="8">
        <v>4.3</v>
      </c>
      <c r="K66" s="8">
        <v>399</v>
      </c>
      <c r="L66" s="10">
        <v>89.73</v>
      </c>
      <c r="M66" s="10">
        <v>448.65</v>
      </c>
      <c r="O66" s="14" t="str">
        <f t="shared" si="0"/>
        <v>Low</v>
      </c>
      <c r="P66" s="12" t="str">
        <f t="shared" si="1"/>
        <v>Good</v>
      </c>
    </row>
    <row r="67" spans="1:16" x14ac:dyDescent="0.35">
      <c r="A67" s="8">
        <v>66</v>
      </c>
      <c r="B67" s="9">
        <v>44642</v>
      </c>
      <c r="C67" s="8" t="s">
        <v>93</v>
      </c>
      <c r="D67" s="8" t="s">
        <v>22</v>
      </c>
      <c r="E67" s="10">
        <v>203.24</v>
      </c>
      <c r="F67" s="8">
        <v>10</v>
      </c>
      <c r="G67" s="8">
        <v>3</v>
      </c>
      <c r="H67" s="8" t="s">
        <v>14</v>
      </c>
      <c r="I67" s="8" t="s">
        <v>23</v>
      </c>
      <c r="J67" s="8">
        <v>4</v>
      </c>
      <c r="K67" s="8">
        <v>412</v>
      </c>
      <c r="L67" s="10">
        <v>182.92</v>
      </c>
      <c r="M67" s="10">
        <v>548.76</v>
      </c>
      <c r="O67" s="14" t="str">
        <f t="shared" ref="O67:O130" si="2">IF(M67 &gt; 1000, "High", "Low")</f>
        <v>Low</v>
      </c>
      <c r="P67" s="12" t="str">
        <f t="shared" ref="P67:P130" si="3">IF(J67 &gt;= 4.5, "Excellent", IF(J67 &gt;= 3, "Good", "Poor"))</f>
        <v>Good</v>
      </c>
    </row>
    <row r="68" spans="1:16" x14ac:dyDescent="0.35">
      <c r="A68" s="8">
        <v>67</v>
      </c>
      <c r="B68" s="9">
        <v>45123</v>
      </c>
      <c r="C68" s="8" t="s">
        <v>94</v>
      </c>
      <c r="D68" s="8" t="s">
        <v>27</v>
      </c>
      <c r="E68" s="10">
        <v>53.92</v>
      </c>
      <c r="F68" s="8">
        <v>15</v>
      </c>
      <c r="G68" s="8">
        <v>1</v>
      </c>
      <c r="H68" s="8" t="s">
        <v>14</v>
      </c>
      <c r="I68" s="8" t="s">
        <v>15</v>
      </c>
      <c r="J68" s="8">
        <v>2.1</v>
      </c>
      <c r="K68" s="8">
        <v>286</v>
      </c>
      <c r="L68" s="10">
        <v>45.83</v>
      </c>
      <c r="M68" s="10">
        <v>45.83</v>
      </c>
      <c r="O68" s="14" t="str">
        <f t="shared" si="2"/>
        <v>Low</v>
      </c>
      <c r="P68" s="12" t="str">
        <f t="shared" si="3"/>
        <v>Poor</v>
      </c>
    </row>
    <row r="69" spans="1:16" x14ac:dyDescent="0.35">
      <c r="A69" s="8">
        <v>68</v>
      </c>
      <c r="B69" s="9">
        <v>44949</v>
      </c>
      <c r="C69" s="8" t="s">
        <v>95</v>
      </c>
      <c r="D69" s="8" t="s">
        <v>25</v>
      </c>
      <c r="E69" s="10">
        <v>74.39</v>
      </c>
      <c r="F69" s="8">
        <v>15</v>
      </c>
      <c r="G69" s="8">
        <v>3</v>
      </c>
      <c r="H69" s="8" t="s">
        <v>21</v>
      </c>
      <c r="I69" s="8" t="s">
        <v>18</v>
      </c>
      <c r="J69" s="8">
        <v>5</v>
      </c>
      <c r="K69" s="8">
        <v>384</v>
      </c>
      <c r="L69" s="10">
        <v>63.23</v>
      </c>
      <c r="M69" s="10">
        <v>189.69</v>
      </c>
      <c r="O69" s="14" t="str">
        <f t="shared" si="2"/>
        <v>Low</v>
      </c>
      <c r="P69" s="12" t="str">
        <f t="shared" si="3"/>
        <v>Excellent</v>
      </c>
    </row>
    <row r="70" spans="1:16" x14ac:dyDescent="0.35">
      <c r="A70" s="8">
        <v>69</v>
      </c>
      <c r="B70" s="9">
        <v>44563</v>
      </c>
      <c r="C70" s="8" t="s">
        <v>96</v>
      </c>
      <c r="D70" s="8" t="s">
        <v>19</v>
      </c>
      <c r="E70" s="10">
        <v>313.75</v>
      </c>
      <c r="F70" s="8">
        <v>20</v>
      </c>
      <c r="G70" s="8">
        <v>2</v>
      </c>
      <c r="H70" s="8" t="s">
        <v>17</v>
      </c>
      <c r="I70" s="8" t="s">
        <v>24</v>
      </c>
      <c r="J70" s="8">
        <v>3.4</v>
      </c>
      <c r="K70" s="8">
        <v>25</v>
      </c>
      <c r="L70" s="10">
        <v>251</v>
      </c>
      <c r="M70" s="10">
        <v>502</v>
      </c>
      <c r="O70" s="14" t="str">
        <f t="shared" si="2"/>
        <v>Low</v>
      </c>
      <c r="P70" s="12" t="str">
        <f t="shared" si="3"/>
        <v>Good</v>
      </c>
    </row>
    <row r="71" spans="1:16" x14ac:dyDescent="0.35">
      <c r="A71" s="8">
        <v>70</v>
      </c>
      <c r="B71" s="9">
        <v>44951</v>
      </c>
      <c r="C71" s="8" t="s">
        <v>97</v>
      </c>
      <c r="D71" s="8" t="s">
        <v>27</v>
      </c>
      <c r="E71" s="10">
        <v>318.45</v>
      </c>
      <c r="F71" s="8">
        <v>0</v>
      </c>
      <c r="G71" s="8">
        <v>5</v>
      </c>
      <c r="H71" s="8" t="s">
        <v>17</v>
      </c>
      <c r="I71" s="8" t="s">
        <v>15</v>
      </c>
      <c r="J71" s="8">
        <v>1.1000000000000001</v>
      </c>
      <c r="K71" s="8">
        <v>337</v>
      </c>
      <c r="L71" s="10">
        <v>318.45</v>
      </c>
      <c r="M71" s="10">
        <v>1592.25</v>
      </c>
      <c r="O71" s="14" t="str">
        <f t="shared" si="2"/>
        <v>High</v>
      </c>
      <c r="P71" s="12" t="str">
        <f t="shared" si="3"/>
        <v>Poor</v>
      </c>
    </row>
    <row r="72" spans="1:16" x14ac:dyDescent="0.35">
      <c r="A72" s="8">
        <v>71</v>
      </c>
      <c r="B72" s="9">
        <v>45127</v>
      </c>
      <c r="C72" s="8" t="s">
        <v>98</v>
      </c>
      <c r="D72" s="8" t="s">
        <v>22</v>
      </c>
      <c r="E72" s="10">
        <v>68.08</v>
      </c>
      <c r="F72" s="8">
        <v>0</v>
      </c>
      <c r="G72" s="8">
        <v>4</v>
      </c>
      <c r="H72" s="8" t="s">
        <v>17</v>
      </c>
      <c r="I72" s="8" t="s">
        <v>24</v>
      </c>
      <c r="J72" s="8">
        <v>4</v>
      </c>
      <c r="K72" s="8">
        <v>0</v>
      </c>
      <c r="L72" s="10">
        <v>68.08</v>
      </c>
      <c r="M72" s="10">
        <v>272.32</v>
      </c>
      <c r="O72" s="14" t="str">
        <f t="shared" si="2"/>
        <v>Low</v>
      </c>
      <c r="P72" s="12" t="str">
        <f t="shared" si="3"/>
        <v>Good</v>
      </c>
    </row>
    <row r="73" spans="1:16" x14ac:dyDescent="0.35">
      <c r="A73" s="8">
        <v>72</v>
      </c>
      <c r="B73" s="9">
        <v>44667</v>
      </c>
      <c r="C73" s="8" t="s">
        <v>99</v>
      </c>
      <c r="D73" s="8" t="s">
        <v>19</v>
      </c>
      <c r="E73" s="10">
        <v>427.64</v>
      </c>
      <c r="F73" s="8">
        <v>0</v>
      </c>
      <c r="G73" s="8">
        <v>4</v>
      </c>
      <c r="H73" s="8" t="s">
        <v>21</v>
      </c>
      <c r="I73" s="8" t="s">
        <v>26</v>
      </c>
      <c r="J73" s="8">
        <v>3.5</v>
      </c>
      <c r="K73" s="8">
        <v>178</v>
      </c>
      <c r="L73" s="10">
        <v>427.64</v>
      </c>
      <c r="M73" s="10">
        <v>1710.56</v>
      </c>
      <c r="O73" s="14" t="str">
        <f t="shared" si="2"/>
        <v>High</v>
      </c>
      <c r="P73" s="12" t="str">
        <f t="shared" si="3"/>
        <v>Good</v>
      </c>
    </row>
    <row r="74" spans="1:16" x14ac:dyDescent="0.35">
      <c r="A74" s="8">
        <v>73</v>
      </c>
      <c r="B74" s="9">
        <v>45038</v>
      </c>
      <c r="C74" s="8" t="s">
        <v>100</v>
      </c>
      <c r="D74" s="8" t="s">
        <v>19</v>
      </c>
      <c r="E74" s="10">
        <v>429.08</v>
      </c>
      <c r="F74" s="8">
        <v>30</v>
      </c>
      <c r="G74" s="8">
        <v>4</v>
      </c>
      <c r="H74" s="8" t="s">
        <v>14</v>
      </c>
      <c r="I74" s="8" t="s">
        <v>18</v>
      </c>
      <c r="J74" s="8">
        <v>3.7</v>
      </c>
      <c r="K74" s="8">
        <v>70</v>
      </c>
      <c r="L74" s="10">
        <v>300.36</v>
      </c>
      <c r="M74" s="10">
        <v>1201.44</v>
      </c>
      <c r="O74" s="14" t="str">
        <f t="shared" si="2"/>
        <v>High</v>
      </c>
      <c r="P74" s="12" t="str">
        <f t="shared" si="3"/>
        <v>Good</v>
      </c>
    </row>
    <row r="75" spans="1:16" x14ac:dyDescent="0.35">
      <c r="A75" s="8">
        <v>74</v>
      </c>
      <c r="B75" s="9">
        <v>45264</v>
      </c>
      <c r="C75" s="8" t="s">
        <v>101</v>
      </c>
      <c r="D75" s="8" t="s">
        <v>13</v>
      </c>
      <c r="E75" s="10">
        <v>192.97</v>
      </c>
      <c r="F75" s="8">
        <v>10</v>
      </c>
      <c r="G75" s="8">
        <v>1</v>
      </c>
      <c r="H75" s="8" t="s">
        <v>14</v>
      </c>
      <c r="I75" s="8" t="s">
        <v>23</v>
      </c>
      <c r="J75" s="8">
        <v>4.3</v>
      </c>
      <c r="K75" s="8">
        <v>88</v>
      </c>
      <c r="L75" s="10">
        <v>173.67</v>
      </c>
      <c r="M75" s="10">
        <v>173.67</v>
      </c>
      <c r="O75" s="14" t="str">
        <f t="shared" si="2"/>
        <v>Low</v>
      </c>
      <c r="P75" s="12" t="str">
        <f t="shared" si="3"/>
        <v>Good</v>
      </c>
    </row>
    <row r="76" spans="1:16" x14ac:dyDescent="0.35">
      <c r="A76" s="8">
        <v>75</v>
      </c>
      <c r="B76" s="9">
        <v>44963</v>
      </c>
      <c r="C76" s="8" t="s">
        <v>102</v>
      </c>
      <c r="D76" s="8" t="s">
        <v>19</v>
      </c>
      <c r="E76" s="10">
        <v>251.49</v>
      </c>
      <c r="F76" s="8">
        <v>10</v>
      </c>
      <c r="G76" s="8">
        <v>1</v>
      </c>
      <c r="H76" s="8" t="s">
        <v>20</v>
      </c>
      <c r="I76" s="8" t="s">
        <v>24</v>
      </c>
      <c r="J76" s="8">
        <v>1.7</v>
      </c>
      <c r="K76" s="8">
        <v>212</v>
      </c>
      <c r="L76" s="10">
        <v>226.34</v>
      </c>
      <c r="M76" s="10">
        <v>226.34</v>
      </c>
      <c r="O76" s="14" t="str">
        <f t="shared" si="2"/>
        <v>Low</v>
      </c>
      <c r="P76" s="12" t="str">
        <f t="shared" si="3"/>
        <v>Poor</v>
      </c>
    </row>
    <row r="77" spans="1:16" x14ac:dyDescent="0.35">
      <c r="A77" s="8">
        <v>76</v>
      </c>
      <c r="B77" s="9">
        <v>45291</v>
      </c>
      <c r="C77" s="8" t="s">
        <v>103</v>
      </c>
      <c r="D77" s="8" t="s">
        <v>25</v>
      </c>
      <c r="E77" s="10">
        <v>401.77</v>
      </c>
      <c r="F77" s="8">
        <v>20</v>
      </c>
      <c r="G77" s="8">
        <v>2</v>
      </c>
      <c r="H77" s="8" t="s">
        <v>14</v>
      </c>
      <c r="I77" s="8" t="s">
        <v>15</v>
      </c>
      <c r="J77" s="8">
        <v>4.5999999999999996</v>
      </c>
      <c r="K77" s="8">
        <v>38</v>
      </c>
      <c r="L77" s="10">
        <v>321.42</v>
      </c>
      <c r="M77" s="10">
        <v>642.84</v>
      </c>
      <c r="O77" s="14" t="str">
        <f t="shared" si="2"/>
        <v>Low</v>
      </c>
      <c r="P77" s="12" t="str">
        <f t="shared" si="3"/>
        <v>Excellent</v>
      </c>
    </row>
    <row r="78" spans="1:16" x14ac:dyDescent="0.35">
      <c r="A78" s="8">
        <v>77</v>
      </c>
      <c r="B78" s="9">
        <v>45117</v>
      </c>
      <c r="C78" s="8" t="s">
        <v>104</v>
      </c>
      <c r="D78" s="8" t="s">
        <v>22</v>
      </c>
      <c r="E78" s="10">
        <v>382.54</v>
      </c>
      <c r="F78" s="8">
        <v>0</v>
      </c>
      <c r="G78" s="8">
        <v>4</v>
      </c>
      <c r="H78" s="8" t="s">
        <v>20</v>
      </c>
      <c r="I78" s="8" t="s">
        <v>24</v>
      </c>
      <c r="J78" s="8">
        <v>3.7</v>
      </c>
      <c r="K78" s="8">
        <v>92</v>
      </c>
      <c r="L78" s="10">
        <v>382.54</v>
      </c>
      <c r="M78" s="10">
        <v>1530.16</v>
      </c>
      <c r="O78" s="14" t="str">
        <f t="shared" si="2"/>
        <v>High</v>
      </c>
      <c r="P78" s="12" t="str">
        <f t="shared" si="3"/>
        <v>Good</v>
      </c>
    </row>
    <row r="79" spans="1:16" x14ac:dyDescent="0.35">
      <c r="A79" s="8">
        <v>78</v>
      </c>
      <c r="B79" s="9">
        <v>44723</v>
      </c>
      <c r="C79" s="8" t="s">
        <v>105</v>
      </c>
      <c r="D79" s="8" t="s">
        <v>22</v>
      </c>
      <c r="E79" s="10">
        <v>184.56</v>
      </c>
      <c r="F79" s="8">
        <v>15</v>
      </c>
      <c r="G79" s="8">
        <v>2</v>
      </c>
      <c r="H79" s="8" t="s">
        <v>17</v>
      </c>
      <c r="I79" s="8" t="s">
        <v>18</v>
      </c>
      <c r="J79" s="8">
        <v>2.5</v>
      </c>
      <c r="K79" s="8">
        <v>261</v>
      </c>
      <c r="L79" s="10">
        <v>156.88</v>
      </c>
      <c r="M79" s="10">
        <v>313.76</v>
      </c>
      <c r="O79" s="14" t="str">
        <f t="shared" si="2"/>
        <v>Low</v>
      </c>
      <c r="P79" s="12" t="str">
        <f t="shared" si="3"/>
        <v>Poor</v>
      </c>
    </row>
    <row r="80" spans="1:16" x14ac:dyDescent="0.35">
      <c r="A80" s="8">
        <v>79</v>
      </c>
      <c r="B80" s="9">
        <v>44763</v>
      </c>
      <c r="C80" s="8" t="s">
        <v>106</v>
      </c>
      <c r="D80" s="8" t="s">
        <v>19</v>
      </c>
      <c r="E80" s="10">
        <v>161.96</v>
      </c>
      <c r="F80" s="8">
        <v>5</v>
      </c>
      <c r="G80" s="8">
        <v>5</v>
      </c>
      <c r="H80" s="8" t="s">
        <v>21</v>
      </c>
      <c r="I80" s="8" t="s">
        <v>24</v>
      </c>
      <c r="J80" s="8">
        <v>2.2000000000000002</v>
      </c>
      <c r="K80" s="8">
        <v>3</v>
      </c>
      <c r="L80" s="10">
        <v>153.86000000000001</v>
      </c>
      <c r="M80" s="10">
        <v>769.3</v>
      </c>
      <c r="O80" s="14" t="str">
        <f t="shared" si="2"/>
        <v>Low</v>
      </c>
      <c r="P80" s="12" t="str">
        <f t="shared" si="3"/>
        <v>Poor</v>
      </c>
    </row>
    <row r="81" spans="1:16" x14ac:dyDescent="0.35">
      <c r="A81" s="8">
        <v>80</v>
      </c>
      <c r="B81" s="9">
        <v>44831</v>
      </c>
      <c r="C81" s="8" t="s">
        <v>107</v>
      </c>
      <c r="D81" s="8" t="s">
        <v>25</v>
      </c>
      <c r="E81" s="10">
        <v>333.85</v>
      </c>
      <c r="F81" s="8">
        <v>20</v>
      </c>
      <c r="G81" s="8">
        <v>3</v>
      </c>
      <c r="H81" s="8" t="s">
        <v>21</v>
      </c>
      <c r="I81" s="8" t="s">
        <v>24</v>
      </c>
      <c r="J81" s="8">
        <v>1.2</v>
      </c>
      <c r="K81" s="8">
        <v>405</v>
      </c>
      <c r="L81" s="10">
        <v>267.08</v>
      </c>
      <c r="M81" s="10">
        <v>801.24</v>
      </c>
      <c r="O81" s="14" t="str">
        <f t="shared" si="2"/>
        <v>Low</v>
      </c>
      <c r="P81" s="12" t="str">
        <f t="shared" si="3"/>
        <v>Poor</v>
      </c>
    </row>
    <row r="82" spans="1:16" x14ac:dyDescent="0.35">
      <c r="A82" s="8">
        <v>81</v>
      </c>
      <c r="B82" s="9">
        <v>44832</v>
      </c>
      <c r="C82" s="8" t="s">
        <v>108</v>
      </c>
      <c r="D82" s="8" t="s">
        <v>27</v>
      </c>
      <c r="E82" s="10">
        <v>184.94</v>
      </c>
      <c r="F82" s="8">
        <v>5</v>
      </c>
      <c r="G82" s="8">
        <v>2</v>
      </c>
      <c r="H82" s="8" t="s">
        <v>14</v>
      </c>
      <c r="I82" s="8" t="s">
        <v>23</v>
      </c>
      <c r="J82" s="8">
        <v>3.9</v>
      </c>
      <c r="K82" s="8">
        <v>479</v>
      </c>
      <c r="L82" s="10">
        <v>175.69</v>
      </c>
      <c r="M82" s="10">
        <v>351.38</v>
      </c>
      <c r="O82" s="14" t="str">
        <f t="shared" si="2"/>
        <v>Low</v>
      </c>
      <c r="P82" s="12" t="str">
        <f t="shared" si="3"/>
        <v>Good</v>
      </c>
    </row>
    <row r="83" spans="1:16" x14ac:dyDescent="0.35">
      <c r="A83" s="8">
        <v>82</v>
      </c>
      <c r="B83" s="9">
        <v>45017</v>
      </c>
      <c r="C83" s="8" t="s">
        <v>109</v>
      </c>
      <c r="D83" s="8" t="s">
        <v>13</v>
      </c>
      <c r="E83" s="10">
        <v>346.28</v>
      </c>
      <c r="F83" s="8">
        <v>5</v>
      </c>
      <c r="G83" s="8">
        <v>4</v>
      </c>
      <c r="H83" s="8" t="s">
        <v>20</v>
      </c>
      <c r="I83" s="8" t="s">
        <v>24</v>
      </c>
      <c r="J83" s="8">
        <v>4.2</v>
      </c>
      <c r="K83" s="8">
        <v>477</v>
      </c>
      <c r="L83" s="10">
        <v>328.97</v>
      </c>
      <c r="M83" s="10">
        <v>1315.88</v>
      </c>
      <c r="O83" s="14" t="str">
        <f t="shared" si="2"/>
        <v>High</v>
      </c>
      <c r="P83" s="12" t="str">
        <f t="shared" si="3"/>
        <v>Good</v>
      </c>
    </row>
    <row r="84" spans="1:16" x14ac:dyDescent="0.35">
      <c r="A84" s="8">
        <v>83</v>
      </c>
      <c r="B84" s="9">
        <v>45023</v>
      </c>
      <c r="C84" s="8" t="s">
        <v>110</v>
      </c>
      <c r="D84" s="8" t="s">
        <v>27</v>
      </c>
      <c r="E84" s="10">
        <v>69.16</v>
      </c>
      <c r="F84" s="8">
        <v>20</v>
      </c>
      <c r="G84" s="8">
        <v>1</v>
      </c>
      <c r="H84" s="8" t="s">
        <v>14</v>
      </c>
      <c r="I84" s="8" t="s">
        <v>18</v>
      </c>
      <c r="J84" s="8">
        <v>3</v>
      </c>
      <c r="K84" s="8">
        <v>492</v>
      </c>
      <c r="L84" s="10">
        <v>55.33</v>
      </c>
      <c r="M84" s="10">
        <v>55.33</v>
      </c>
      <c r="O84" s="14" t="str">
        <f t="shared" si="2"/>
        <v>Low</v>
      </c>
      <c r="P84" s="12" t="str">
        <f t="shared" si="3"/>
        <v>Good</v>
      </c>
    </row>
    <row r="85" spans="1:16" x14ac:dyDescent="0.35">
      <c r="A85" s="8">
        <v>84</v>
      </c>
      <c r="B85" s="9">
        <v>45288</v>
      </c>
      <c r="C85" s="8" t="s">
        <v>111</v>
      </c>
      <c r="D85" s="8" t="s">
        <v>16</v>
      </c>
      <c r="E85" s="10">
        <v>337.66</v>
      </c>
      <c r="F85" s="8">
        <v>0</v>
      </c>
      <c r="G85" s="8">
        <v>2</v>
      </c>
      <c r="H85" s="8" t="s">
        <v>17</v>
      </c>
      <c r="I85" s="8" t="s">
        <v>24</v>
      </c>
      <c r="J85" s="8">
        <v>2.6</v>
      </c>
      <c r="K85" s="8">
        <v>316</v>
      </c>
      <c r="L85" s="10">
        <v>337.66</v>
      </c>
      <c r="M85" s="10">
        <v>675.32</v>
      </c>
      <c r="O85" s="14" t="str">
        <f t="shared" si="2"/>
        <v>Low</v>
      </c>
      <c r="P85" s="12" t="str">
        <f t="shared" si="3"/>
        <v>Poor</v>
      </c>
    </row>
    <row r="86" spans="1:16" x14ac:dyDescent="0.35">
      <c r="A86" s="8">
        <v>85</v>
      </c>
      <c r="B86" s="9">
        <v>44813</v>
      </c>
      <c r="C86" s="8" t="s">
        <v>112</v>
      </c>
      <c r="D86" s="8" t="s">
        <v>27</v>
      </c>
      <c r="E86" s="10">
        <v>393.65</v>
      </c>
      <c r="F86" s="8">
        <v>10</v>
      </c>
      <c r="G86" s="8">
        <v>3</v>
      </c>
      <c r="H86" s="8" t="s">
        <v>21</v>
      </c>
      <c r="I86" s="8" t="s">
        <v>24</v>
      </c>
      <c r="J86" s="8">
        <v>1.2</v>
      </c>
      <c r="K86" s="8">
        <v>112</v>
      </c>
      <c r="L86" s="10">
        <v>354.28</v>
      </c>
      <c r="M86" s="10">
        <v>1062.8399999999999</v>
      </c>
      <c r="O86" s="14" t="str">
        <f t="shared" si="2"/>
        <v>High</v>
      </c>
      <c r="P86" s="12" t="str">
        <f t="shared" si="3"/>
        <v>Poor</v>
      </c>
    </row>
    <row r="87" spans="1:16" x14ac:dyDescent="0.35">
      <c r="A87" s="8">
        <v>86</v>
      </c>
      <c r="B87" s="9">
        <v>45263</v>
      </c>
      <c r="C87" s="8" t="s">
        <v>113</v>
      </c>
      <c r="D87" s="8" t="s">
        <v>16</v>
      </c>
      <c r="E87" s="10">
        <v>452.78</v>
      </c>
      <c r="F87" s="8">
        <v>20</v>
      </c>
      <c r="G87" s="8">
        <v>5</v>
      </c>
      <c r="H87" s="8" t="s">
        <v>14</v>
      </c>
      <c r="I87" s="8" t="s">
        <v>15</v>
      </c>
      <c r="J87" s="8">
        <v>2.4</v>
      </c>
      <c r="K87" s="8">
        <v>102</v>
      </c>
      <c r="L87" s="10">
        <v>362.22</v>
      </c>
      <c r="M87" s="10">
        <v>1811.1</v>
      </c>
      <c r="O87" s="14" t="str">
        <f t="shared" si="2"/>
        <v>High</v>
      </c>
      <c r="P87" s="12" t="str">
        <f t="shared" si="3"/>
        <v>Poor</v>
      </c>
    </row>
    <row r="88" spans="1:16" x14ac:dyDescent="0.35">
      <c r="A88" s="8">
        <v>87</v>
      </c>
      <c r="B88" s="9">
        <v>44857</v>
      </c>
      <c r="C88" s="8" t="s">
        <v>114</v>
      </c>
      <c r="D88" s="8" t="s">
        <v>25</v>
      </c>
      <c r="E88" s="10">
        <v>230.81</v>
      </c>
      <c r="F88" s="8">
        <v>15</v>
      </c>
      <c r="G88" s="8">
        <v>2</v>
      </c>
      <c r="H88" s="8" t="s">
        <v>21</v>
      </c>
      <c r="I88" s="8" t="s">
        <v>18</v>
      </c>
      <c r="J88" s="8">
        <v>4.7</v>
      </c>
      <c r="K88" s="8">
        <v>313</v>
      </c>
      <c r="L88" s="10">
        <v>196.19</v>
      </c>
      <c r="M88" s="10">
        <v>392.38</v>
      </c>
      <c r="O88" s="14" t="str">
        <f t="shared" si="2"/>
        <v>Low</v>
      </c>
      <c r="P88" s="12" t="str">
        <f t="shared" si="3"/>
        <v>Excellent</v>
      </c>
    </row>
    <row r="89" spans="1:16" x14ac:dyDescent="0.35">
      <c r="A89" s="8">
        <v>88</v>
      </c>
      <c r="B89" s="9">
        <v>45286</v>
      </c>
      <c r="C89" s="8" t="s">
        <v>115</v>
      </c>
      <c r="D89" s="8" t="s">
        <v>19</v>
      </c>
      <c r="E89" s="10">
        <v>282.35000000000002</v>
      </c>
      <c r="F89" s="8">
        <v>15</v>
      </c>
      <c r="G89" s="8">
        <v>2</v>
      </c>
      <c r="H89" s="8" t="s">
        <v>14</v>
      </c>
      <c r="I89" s="8" t="s">
        <v>18</v>
      </c>
      <c r="J89" s="8">
        <v>2.5</v>
      </c>
      <c r="K89" s="8">
        <v>3</v>
      </c>
      <c r="L89" s="10">
        <v>240</v>
      </c>
      <c r="M89" s="10">
        <v>480</v>
      </c>
      <c r="O89" s="14" t="str">
        <f t="shared" si="2"/>
        <v>Low</v>
      </c>
      <c r="P89" s="12" t="str">
        <f t="shared" si="3"/>
        <v>Poor</v>
      </c>
    </row>
    <row r="90" spans="1:16" x14ac:dyDescent="0.35">
      <c r="A90" s="8">
        <v>89</v>
      </c>
      <c r="B90" s="9">
        <v>45281</v>
      </c>
      <c r="C90" s="8" t="s">
        <v>116</v>
      </c>
      <c r="D90" s="8" t="s">
        <v>16</v>
      </c>
      <c r="E90" s="10">
        <v>148.01</v>
      </c>
      <c r="F90" s="8">
        <v>20</v>
      </c>
      <c r="G90" s="8">
        <v>2</v>
      </c>
      <c r="H90" s="8" t="s">
        <v>17</v>
      </c>
      <c r="I90" s="8" t="s">
        <v>15</v>
      </c>
      <c r="J90" s="8">
        <v>3.2</v>
      </c>
      <c r="K90" s="8">
        <v>295</v>
      </c>
      <c r="L90" s="10">
        <v>118.41</v>
      </c>
      <c r="M90" s="10">
        <v>236.82</v>
      </c>
      <c r="O90" s="14" t="str">
        <f t="shared" si="2"/>
        <v>Low</v>
      </c>
      <c r="P90" s="12" t="str">
        <f t="shared" si="3"/>
        <v>Good</v>
      </c>
    </row>
    <row r="91" spans="1:16" x14ac:dyDescent="0.35">
      <c r="A91" s="8">
        <v>90</v>
      </c>
      <c r="B91" s="9">
        <v>44899</v>
      </c>
      <c r="C91" s="8" t="s">
        <v>117</v>
      </c>
      <c r="D91" s="8" t="s">
        <v>22</v>
      </c>
      <c r="E91" s="10">
        <v>79.489999999999995</v>
      </c>
      <c r="F91" s="8">
        <v>20</v>
      </c>
      <c r="G91" s="8">
        <v>3</v>
      </c>
      <c r="H91" s="8" t="s">
        <v>21</v>
      </c>
      <c r="I91" s="8" t="s">
        <v>23</v>
      </c>
      <c r="J91" s="8">
        <v>4.4000000000000004</v>
      </c>
      <c r="K91" s="8">
        <v>472</v>
      </c>
      <c r="L91" s="10">
        <v>63.59</v>
      </c>
      <c r="M91" s="10">
        <v>190.77</v>
      </c>
      <c r="O91" s="14" t="str">
        <f t="shared" si="2"/>
        <v>Low</v>
      </c>
      <c r="P91" s="12" t="str">
        <f t="shared" si="3"/>
        <v>Good</v>
      </c>
    </row>
    <row r="92" spans="1:16" x14ac:dyDescent="0.35">
      <c r="A92" s="8">
        <v>91</v>
      </c>
      <c r="B92" s="9">
        <v>44614</v>
      </c>
      <c r="C92" s="8" t="s">
        <v>118</v>
      </c>
      <c r="D92" s="8" t="s">
        <v>19</v>
      </c>
      <c r="E92" s="10">
        <v>90.69</v>
      </c>
      <c r="F92" s="8">
        <v>30</v>
      </c>
      <c r="G92" s="8">
        <v>5</v>
      </c>
      <c r="H92" s="8" t="s">
        <v>14</v>
      </c>
      <c r="I92" s="8" t="s">
        <v>23</v>
      </c>
      <c r="J92" s="8">
        <v>3.1</v>
      </c>
      <c r="K92" s="8">
        <v>376</v>
      </c>
      <c r="L92" s="10">
        <v>63.48</v>
      </c>
      <c r="M92" s="10">
        <v>317.39999999999998</v>
      </c>
      <c r="O92" s="14" t="str">
        <f t="shared" si="2"/>
        <v>Low</v>
      </c>
      <c r="P92" s="12" t="str">
        <f t="shared" si="3"/>
        <v>Good</v>
      </c>
    </row>
    <row r="93" spans="1:16" x14ac:dyDescent="0.35">
      <c r="A93" s="8">
        <v>92</v>
      </c>
      <c r="B93" s="9">
        <v>44778</v>
      </c>
      <c r="C93" s="8" t="s">
        <v>119</v>
      </c>
      <c r="D93" s="8" t="s">
        <v>19</v>
      </c>
      <c r="E93" s="10">
        <v>423.06</v>
      </c>
      <c r="F93" s="8">
        <v>30</v>
      </c>
      <c r="G93" s="8">
        <v>5</v>
      </c>
      <c r="H93" s="8" t="s">
        <v>20</v>
      </c>
      <c r="I93" s="8" t="s">
        <v>15</v>
      </c>
      <c r="J93" s="8">
        <v>2</v>
      </c>
      <c r="K93" s="8">
        <v>312</v>
      </c>
      <c r="L93" s="10">
        <v>296.14</v>
      </c>
      <c r="M93" s="10">
        <v>1480.7</v>
      </c>
      <c r="O93" s="14" t="str">
        <f t="shared" si="2"/>
        <v>High</v>
      </c>
      <c r="P93" s="12" t="str">
        <f t="shared" si="3"/>
        <v>Poor</v>
      </c>
    </row>
    <row r="94" spans="1:16" x14ac:dyDescent="0.35">
      <c r="A94" s="8">
        <v>93</v>
      </c>
      <c r="B94" s="9">
        <v>44749</v>
      </c>
      <c r="C94" s="8" t="s">
        <v>120</v>
      </c>
      <c r="D94" s="8" t="s">
        <v>19</v>
      </c>
      <c r="E94" s="10">
        <v>273.02999999999997</v>
      </c>
      <c r="F94" s="8">
        <v>5</v>
      </c>
      <c r="G94" s="8">
        <v>4</v>
      </c>
      <c r="H94" s="8" t="s">
        <v>14</v>
      </c>
      <c r="I94" s="8" t="s">
        <v>26</v>
      </c>
      <c r="J94" s="8">
        <v>3</v>
      </c>
      <c r="K94" s="8">
        <v>361</v>
      </c>
      <c r="L94" s="10">
        <v>259.38</v>
      </c>
      <c r="M94" s="10">
        <v>1037.52</v>
      </c>
      <c r="O94" s="14" t="str">
        <f t="shared" si="2"/>
        <v>High</v>
      </c>
      <c r="P94" s="12" t="str">
        <f t="shared" si="3"/>
        <v>Good</v>
      </c>
    </row>
    <row r="95" spans="1:16" x14ac:dyDescent="0.35">
      <c r="A95" s="8">
        <v>94</v>
      </c>
      <c r="B95" s="9">
        <v>44941</v>
      </c>
      <c r="C95" s="8" t="s">
        <v>121</v>
      </c>
      <c r="D95" s="8" t="s">
        <v>16</v>
      </c>
      <c r="E95" s="10">
        <v>191.27</v>
      </c>
      <c r="F95" s="8">
        <v>10</v>
      </c>
      <c r="G95" s="8">
        <v>2</v>
      </c>
      <c r="H95" s="8" t="s">
        <v>20</v>
      </c>
      <c r="I95" s="8" t="s">
        <v>24</v>
      </c>
      <c r="J95" s="8">
        <v>1.5</v>
      </c>
      <c r="K95" s="8">
        <v>294</v>
      </c>
      <c r="L95" s="10">
        <v>172.14</v>
      </c>
      <c r="M95" s="10">
        <v>344.28</v>
      </c>
      <c r="O95" s="14" t="str">
        <f t="shared" si="2"/>
        <v>Low</v>
      </c>
      <c r="P95" s="12" t="str">
        <f t="shared" si="3"/>
        <v>Poor</v>
      </c>
    </row>
    <row r="96" spans="1:16" x14ac:dyDescent="0.35">
      <c r="A96" s="8">
        <v>95</v>
      </c>
      <c r="B96" s="9">
        <v>45054</v>
      </c>
      <c r="C96" s="8" t="s">
        <v>122</v>
      </c>
      <c r="D96" s="8" t="s">
        <v>22</v>
      </c>
      <c r="E96" s="10">
        <v>432.66</v>
      </c>
      <c r="F96" s="8">
        <v>0</v>
      </c>
      <c r="G96" s="8">
        <v>4</v>
      </c>
      <c r="H96" s="8" t="s">
        <v>21</v>
      </c>
      <c r="I96" s="8" t="s">
        <v>23</v>
      </c>
      <c r="J96" s="8">
        <v>3.4</v>
      </c>
      <c r="K96" s="8">
        <v>252</v>
      </c>
      <c r="L96" s="10">
        <v>432.66</v>
      </c>
      <c r="M96" s="10">
        <v>1730.64</v>
      </c>
      <c r="O96" s="14" t="str">
        <f t="shared" si="2"/>
        <v>High</v>
      </c>
      <c r="P96" s="12" t="str">
        <f t="shared" si="3"/>
        <v>Good</v>
      </c>
    </row>
    <row r="97" spans="1:16" x14ac:dyDescent="0.35">
      <c r="A97" s="8">
        <v>96</v>
      </c>
      <c r="B97" s="9">
        <v>44602</v>
      </c>
      <c r="C97" s="8" t="s">
        <v>123</v>
      </c>
      <c r="D97" s="8" t="s">
        <v>22</v>
      </c>
      <c r="E97" s="10">
        <v>61.33</v>
      </c>
      <c r="F97" s="8">
        <v>15</v>
      </c>
      <c r="G97" s="8">
        <v>3</v>
      </c>
      <c r="H97" s="8" t="s">
        <v>21</v>
      </c>
      <c r="I97" s="8" t="s">
        <v>18</v>
      </c>
      <c r="J97" s="8">
        <v>4.0999999999999996</v>
      </c>
      <c r="K97" s="8">
        <v>418</v>
      </c>
      <c r="L97" s="10">
        <v>52.13</v>
      </c>
      <c r="M97" s="10">
        <v>156.38999999999999</v>
      </c>
      <c r="O97" s="14" t="str">
        <f t="shared" si="2"/>
        <v>Low</v>
      </c>
      <c r="P97" s="12" t="str">
        <f t="shared" si="3"/>
        <v>Good</v>
      </c>
    </row>
    <row r="98" spans="1:16" x14ac:dyDescent="0.35">
      <c r="A98" s="8">
        <v>97</v>
      </c>
      <c r="B98" s="9">
        <v>44718</v>
      </c>
      <c r="C98" s="8" t="s">
        <v>124</v>
      </c>
      <c r="D98" s="8" t="s">
        <v>27</v>
      </c>
      <c r="E98" s="10">
        <v>299.14</v>
      </c>
      <c r="F98" s="8">
        <v>30</v>
      </c>
      <c r="G98" s="8">
        <v>5</v>
      </c>
      <c r="H98" s="8" t="s">
        <v>20</v>
      </c>
      <c r="I98" s="8" t="s">
        <v>18</v>
      </c>
      <c r="J98" s="8">
        <v>1.9</v>
      </c>
      <c r="K98" s="8">
        <v>223</v>
      </c>
      <c r="L98" s="10">
        <v>209.4</v>
      </c>
      <c r="M98" s="10">
        <v>1047</v>
      </c>
      <c r="O98" s="14" t="str">
        <f t="shared" si="2"/>
        <v>High</v>
      </c>
      <c r="P98" s="12" t="str">
        <f t="shared" si="3"/>
        <v>Poor</v>
      </c>
    </row>
    <row r="99" spans="1:16" x14ac:dyDescent="0.35">
      <c r="A99" s="8">
        <v>98</v>
      </c>
      <c r="B99" s="9">
        <v>44576</v>
      </c>
      <c r="C99" s="8" t="s">
        <v>125</v>
      </c>
      <c r="D99" s="8" t="s">
        <v>19</v>
      </c>
      <c r="E99" s="10">
        <v>396.42</v>
      </c>
      <c r="F99" s="8">
        <v>10</v>
      </c>
      <c r="G99" s="8">
        <v>3</v>
      </c>
      <c r="H99" s="8" t="s">
        <v>14</v>
      </c>
      <c r="I99" s="8" t="s">
        <v>15</v>
      </c>
      <c r="J99" s="8">
        <v>2.2000000000000002</v>
      </c>
      <c r="K99" s="8">
        <v>213</v>
      </c>
      <c r="L99" s="10">
        <v>356.78</v>
      </c>
      <c r="M99" s="10">
        <v>1070.3399999999999</v>
      </c>
      <c r="O99" s="14" t="str">
        <f t="shared" si="2"/>
        <v>High</v>
      </c>
      <c r="P99" s="12" t="str">
        <f t="shared" si="3"/>
        <v>Poor</v>
      </c>
    </row>
    <row r="100" spans="1:16" x14ac:dyDescent="0.35">
      <c r="A100" s="8">
        <v>99</v>
      </c>
      <c r="B100" s="9">
        <v>44626</v>
      </c>
      <c r="C100" s="8" t="s">
        <v>126</v>
      </c>
      <c r="D100" s="8" t="s">
        <v>19</v>
      </c>
      <c r="E100" s="10">
        <v>66.83</v>
      </c>
      <c r="F100" s="8">
        <v>30</v>
      </c>
      <c r="G100" s="8">
        <v>3</v>
      </c>
      <c r="H100" s="8" t="s">
        <v>21</v>
      </c>
      <c r="I100" s="8" t="s">
        <v>26</v>
      </c>
      <c r="J100" s="8">
        <v>4.5999999999999996</v>
      </c>
      <c r="K100" s="8">
        <v>54</v>
      </c>
      <c r="L100" s="10">
        <v>46.78</v>
      </c>
      <c r="M100" s="10">
        <v>140.34</v>
      </c>
      <c r="O100" s="14" t="str">
        <f t="shared" si="2"/>
        <v>Low</v>
      </c>
      <c r="P100" s="12" t="str">
        <f t="shared" si="3"/>
        <v>Excellent</v>
      </c>
    </row>
    <row r="101" spans="1:16" x14ac:dyDescent="0.35">
      <c r="A101" s="8">
        <v>100</v>
      </c>
      <c r="B101" s="9">
        <v>45082</v>
      </c>
      <c r="C101" s="8" t="s">
        <v>127</v>
      </c>
      <c r="D101" s="8" t="s">
        <v>13</v>
      </c>
      <c r="E101" s="10">
        <v>64.67</v>
      </c>
      <c r="F101" s="8">
        <v>5</v>
      </c>
      <c r="G101" s="8">
        <v>2</v>
      </c>
      <c r="H101" s="8" t="s">
        <v>14</v>
      </c>
      <c r="I101" s="8" t="s">
        <v>24</v>
      </c>
      <c r="J101" s="8">
        <v>4.3</v>
      </c>
      <c r="K101" s="8">
        <v>438</v>
      </c>
      <c r="L101" s="10">
        <v>61.44</v>
      </c>
      <c r="M101" s="10">
        <v>122.88</v>
      </c>
      <c r="O101" s="14" t="str">
        <f t="shared" si="2"/>
        <v>Low</v>
      </c>
      <c r="P101" s="12" t="str">
        <f t="shared" si="3"/>
        <v>Good</v>
      </c>
    </row>
    <row r="102" spans="1:16" x14ac:dyDescent="0.35">
      <c r="A102" s="8">
        <v>101</v>
      </c>
      <c r="B102" s="9">
        <v>44905</v>
      </c>
      <c r="C102" s="8" t="s">
        <v>128</v>
      </c>
      <c r="D102" s="8" t="s">
        <v>19</v>
      </c>
      <c r="E102" s="10">
        <v>21.52</v>
      </c>
      <c r="F102" s="8">
        <v>10</v>
      </c>
      <c r="G102" s="8">
        <v>1</v>
      </c>
      <c r="H102" s="8" t="s">
        <v>17</v>
      </c>
      <c r="I102" s="8" t="s">
        <v>15</v>
      </c>
      <c r="J102" s="8">
        <v>1.1000000000000001</v>
      </c>
      <c r="K102" s="8">
        <v>300</v>
      </c>
      <c r="L102" s="10">
        <v>19.37</v>
      </c>
      <c r="M102" s="10">
        <v>19.37</v>
      </c>
      <c r="O102" s="14" t="str">
        <f t="shared" si="2"/>
        <v>Low</v>
      </c>
      <c r="P102" s="12" t="str">
        <f t="shared" si="3"/>
        <v>Poor</v>
      </c>
    </row>
    <row r="103" spans="1:16" x14ac:dyDescent="0.35">
      <c r="A103" s="8">
        <v>102</v>
      </c>
      <c r="B103" s="9">
        <v>44690</v>
      </c>
      <c r="C103" s="8" t="s">
        <v>129</v>
      </c>
      <c r="D103" s="8" t="s">
        <v>27</v>
      </c>
      <c r="E103" s="10">
        <v>471.27</v>
      </c>
      <c r="F103" s="8">
        <v>0</v>
      </c>
      <c r="G103" s="8">
        <v>3</v>
      </c>
      <c r="H103" s="8" t="s">
        <v>20</v>
      </c>
      <c r="I103" s="8" t="s">
        <v>15</v>
      </c>
      <c r="J103" s="8">
        <v>1.7</v>
      </c>
      <c r="K103" s="8">
        <v>178</v>
      </c>
      <c r="L103" s="10">
        <v>471.27</v>
      </c>
      <c r="M103" s="10">
        <v>1413.81</v>
      </c>
      <c r="O103" s="14" t="str">
        <f t="shared" si="2"/>
        <v>High</v>
      </c>
      <c r="P103" s="12" t="str">
        <f t="shared" si="3"/>
        <v>Poor</v>
      </c>
    </row>
    <row r="104" spans="1:16" x14ac:dyDescent="0.35">
      <c r="A104" s="8">
        <v>103</v>
      </c>
      <c r="B104" s="9">
        <v>45209</v>
      </c>
      <c r="C104" s="8" t="s">
        <v>130</v>
      </c>
      <c r="D104" s="8" t="s">
        <v>27</v>
      </c>
      <c r="E104" s="10">
        <v>347.63</v>
      </c>
      <c r="F104" s="8">
        <v>20</v>
      </c>
      <c r="G104" s="8">
        <v>5</v>
      </c>
      <c r="H104" s="8" t="s">
        <v>20</v>
      </c>
      <c r="I104" s="8" t="s">
        <v>23</v>
      </c>
      <c r="J104" s="8">
        <v>1.2</v>
      </c>
      <c r="K104" s="8">
        <v>19</v>
      </c>
      <c r="L104" s="10">
        <v>278.10000000000002</v>
      </c>
      <c r="M104" s="10">
        <v>1390.5</v>
      </c>
      <c r="O104" s="14" t="str">
        <f t="shared" si="2"/>
        <v>High</v>
      </c>
      <c r="P104" s="12" t="str">
        <f t="shared" si="3"/>
        <v>Poor</v>
      </c>
    </row>
    <row r="105" spans="1:16" x14ac:dyDescent="0.35">
      <c r="A105" s="8">
        <v>104</v>
      </c>
      <c r="B105" s="9">
        <v>45033</v>
      </c>
      <c r="C105" s="8" t="s">
        <v>131</v>
      </c>
      <c r="D105" s="8" t="s">
        <v>22</v>
      </c>
      <c r="E105" s="10">
        <v>40.36</v>
      </c>
      <c r="F105" s="8">
        <v>20</v>
      </c>
      <c r="G105" s="8">
        <v>2</v>
      </c>
      <c r="H105" s="8" t="s">
        <v>21</v>
      </c>
      <c r="I105" s="8" t="s">
        <v>26</v>
      </c>
      <c r="J105" s="8">
        <v>1.1000000000000001</v>
      </c>
      <c r="K105" s="8">
        <v>322</v>
      </c>
      <c r="L105" s="10">
        <v>32.29</v>
      </c>
      <c r="M105" s="10">
        <v>64.58</v>
      </c>
      <c r="O105" s="14" t="str">
        <f t="shared" si="2"/>
        <v>Low</v>
      </c>
      <c r="P105" s="12" t="str">
        <f t="shared" si="3"/>
        <v>Poor</v>
      </c>
    </row>
    <row r="106" spans="1:16" x14ac:dyDescent="0.35">
      <c r="A106" s="8">
        <v>105</v>
      </c>
      <c r="B106" s="9">
        <v>44624</v>
      </c>
      <c r="C106" s="8" t="s">
        <v>132</v>
      </c>
      <c r="D106" s="8" t="s">
        <v>13</v>
      </c>
      <c r="E106" s="10">
        <v>337.27</v>
      </c>
      <c r="F106" s="8">
        <v>20</v>
      </c>
      <c r="G106" s="8">
        <v>2</v>
      </c>
      <c r="H106" s="8" t="s">
        <v>21</v>
      </c>
      <c r="I106" s="8" t="s">
        <v>15</v>
      </c>
      <c r="J106" s="8">
        <v>3.9</v>
      </c>
      <c r="K106" s="8">
        <v>107</v>
      </c>
      <c r="L106" s="10">
        <v>269.82</v>
      </c>
      <c r="M106" s="10">
        <v>539.64</v>
      </c>
      <c r="O106" s="14" t="str">
        <f t="shared" si="2"/>
        <v>Low</v>
      </c>
      <c r="P106" s="12" t="str">
        <f t="shared" si="3"/>
        <v>Good</v>
      </c>
    </row>
    <row r="107" spans="1:16" x14ac:dyDescent="0.35">
      <c r="A107" s="8">
        <v>106</v>
      </c>
      <c r="B107" s="9">
        <v>44700</v>
      </c>
      <c r="C107" s="8" t="s">
        <v>133</v>
      </c>
      <c r="D107" s="8" t="s">
        <v>22</v>
      </c>
      <c r="E107" s="10">
        <v>155.29</v>
      </c>
      <c r="F107" s="8">
        <v>5</v>
      </c>
      <c r="G107" s="8">
        <v>2</v>
      </c>
      <c r="H107" s="8" t="s">
        <v>21</v>
      </c>
      <c r="I107" s="8" t="s">
        <v>23</v>
      </c>
      <c r="J107" s="8">
        <v>3.5</v>
      </c>
      <c r="K107" s="8">
        <v>249</v>
      </c>
      <c r="L107" s="10">
        <v>147.53</v>
      </c>
      <c r="M107" s="10">
        <v>295.06</v>
      </c>
      <c r="O107" s="14" t="str">
        <f t="shared" si="2"/>
        <v>Low</v>
      </c>
      <c r="P107" s="12" t="str">
        <f t="shared" si="3"/>
        <v>Good</v>
      </c>
    </row>
    <row r="108" spans="1:16" x14ac:dyDescent="0.35">
      <c r="A108" s="8">
        <v>107</v>
      </c>
      <c r="B108" s="9">
        <v>45060</v>
      </c>
      <c r="C108" s="8" t="s">
        <v>134</v>
      </c>
      <c r="D108" s="8" t="s">
        <v>19</v>
      </c>
      <c r="E108" s="10">
        <v>59.12</v>
      </c>
      <c r="F108" s="8">
        <v>0</v>
      </c>
      <c r="G108" s="8">
        <v>4</v>
      </c>
      <c r="H108" s="8" t="s">
        <v>21</v>
      </c>
      <c r="I108" s="8" t="s">
        <v>26</v>
      </c>
      <c r="J108" s="8">
        <v>3.4</v>
      </c>
      <c r="K108" s="8">
        <v>433</v>
      </c>
      <c r="L108" s="10">
        <v>59.12</v>
      </c>
      <c r="M108" s="10">
        <v>236.48</v>
      </c>
      <c r="O108" s="14" t="str">
        <f t="shared" si="2"/>
        <v>Low</v>
      </c>
      <c r="P108" s="12" t="str">
        <f t="shared" si="3"/>
        <v>Good</v>
      </c>
    </row>
    <row r="109" spans="1:16" x14ac:dyDescent="0.35">
      <c r="A109" s="8">
        <v>108</v>
      </c>
      <c r="B109" s="9">
        <v>45154</v>
      </c>
      <c r="C109" s="8" t="s">
        <v>135</v>
      </c>
      <c r="D109" s="8" t="s">
        <v>13</v>
      </c>
      <c r="E109" s="10">
        <v>496.15</v>
      </c>
      <c r="F109" s="8">
        <v>10</v>
      </c>
      <c r="G109" s="8">
        <v>3</v>
      </c>
      <c r="H109" s="8" t="s">
        <v>14</v>
      </c>
      <c r="I109" s="8" t="s">
        <v>24</v>
      </c>
      <c r="J109" s="8">
        <v>2</v>
      </c>
      <c r="K109" s="8">
        <v>422</v>
      </c>
      <c r="L109" s="10">
        <v>446.54</v>
      </c>
      <c r="M109" s="10">
        <v>1339.62</v>
      </c>
      <c r="O109" s="14" t="str">
        <f t="shared" si="2"/>
        <v>High</v>
      </c>
      <c r="P109" s="12" t="str">
        <f t="shared" si="3"/>
        <v>Poor</v>
      </c>
    </row>
    <row r="110" spans="1:16" x14ac:dyDescent="0.35">
      <c r="A110" s="8">
        <v>109</v>
      </c>
      <c r="B110" s="9">
        <v>44953</v>
      </c>
      <c r="C110" s="8" t="s">
        <v>136</v>
      </c>
      <c r="D110" s="8" t="s">
        <v>16</v>
      </c>
      <c r="E110" s="10">
        <v>94.04</v>
      </c>
      <c r="F110" s="8">
        <v>15</v>
      </c>
      <c r="G110" s="8">
        <v>5</v>
      </c>
      <c r="H110" s="8" t="s">
        <v>21</v>
      </c>
      <c r="I110" s="8" t="s">
        <v>26</v>
      </c>
      <c r="J110" s="8">
        <v>2.8</v>
      </c>
      <c r="K110" s="8">
        <v>200</v>
      </c>
      <c r="L110" s="10">
        <v>79.930000000000007</v>
      </c>
      <c r="M110" s="10">
        <v>399.65</v>
      </c>
      <c r="O110" s="14" t="str">
        <f t="shared" si="2"/>
        <v>Low</v>
      </c>
      <c r="P110" s="12" t="str">
        <f t="shared" si="3"/>
        <v>Poor</v>
      </c>
    </row>
    <row r="111" spans="1:16" x14ac:dyDescent="0.35">
      <c r="A111" s="8">
        <v>110</v>
      </c>
      <c r="B111" s="9">
        <v>45236</v>
      </c>
      <c r="C111" s="8" t="s">
        <v>137</v>
      </c>
      <c r="D111" s="8" t="s">
        <v>22</v>
      </c>
      <c r="E111" s="10">
        <v>400.28</v>
      </c>
      <c r="F111" s="8">
        <v>5</v>
      </c>
      <c r="G111" s="8">
        <v>2</v>
      </c>
      <c r="H111" s="8" t="s">
        <v>21</v>
      </c>
      <c r="I111" s="8" t="s">
        <v>24</v>
      </c>
      <c r="J111" s="8">
        <v>3.9</v>
      </c>
      <c r="K111" s="8">
        <v>328</v>
      </c>
      <c r="L111" s="10">
        <v>380.27</v>
      </c>
      <c r="M111" s="10">
        <v>760.54</v>
      </c>
      <c r="O111" s="14" t="str">
        <f t="shared" si="2"/>
        <v>Low</v>
      </c>
      <c r="P111" s="12" t="str">
        <f t="shared" si="3"/>
        <v>Good</v>
      </c>
    </row>
    <row r="112" spans="1:16" x14ac:dyDescent="0.35">
      <c r="A112" s="8">
        <v>111</v>
      </c>
      <c r="B112" s="9">
        <v>44980</v>
      </c>
      <c r="C112" s="8" t="s">
        <v>138</v>
      </c>
      <c r="D112" s="8" t="s">
        <v>27</v>
      </c>
      <c r="E112" s="10">
        <v>441.29</v>
      </c>
      <c r="F112" s="8">
        <v>0</v>
      </c>
      <c r="G112" s="8">
        <v>3</v>
      </c>
      <c r="H112" s="8" t="s">
        <v>20</v>
      </c>
      <c r="I112" s="8" t="s">
        <v>24</v>
      </c>
      <c r="J112" s="8">
        <v>3</v>
      </c>
      <c r="K112" s="8">
        <v>447</v>
      </c>
      <c r="L112" s="10">
        <v>441.29</v>
      </c>
      <c r="M112" s="10">
        <v>1323.87</v>
      </c>
      <c r="O112" s="14" t="str">
        <f t="shared" si="2"/>
        <v>High</v>
      </c>
      <c r="P112" s="12" t="str">
        <f t="shared" si="3"/>
        <v>Good</v>
      </c>
    </row>
    <row r="113" spans="1:16" x14ac:dyDescent="0.35">
      <c r="A113" s="8">
        <v>112</v>
      </c>
      <c r="B113" s="9">
        <v>44850</v>
      </c>
      <c r="C113" s="8" t="s">
        <v>139</v>
      </c>
      <c r="D113" s="8" t="s">
        <v>22</v>
      </c>
      <c r="E113" s="10">
        <v>267.51</v>
      </c>
      <c r="F113" s="8">
        <v>15</v>
      </c>
      <c r="G113" s="8">
        <v>3</v>
      </c>
      <c r="H113" s="8" t="s">
        <v>14</v>
      </c>
      <c r="I113" s="8" t="s">
        <v>26</v>
      </c>
      <c r="J113" s="8">
        <v>1.3</v>
      </c>
      <c r="K113" s="8">
        <v>358</v>
      </c>
      <c r="L113" s="10">
        <v>227.38</v>
      </c>
      <c r="M113" s="10">
        <v>682.14</v>
      </c>
      <c r="O113" s="14" t="str">
        <f t="shared" si="2"/>
        <v>Low</v>
      </c>
      <c r="P113" s="12" t="str">
        <f t="shared" si="3"/>
        <v>Poor</v>
      </c>
    </row>
    <row r="114" spans="1:16" x14ac:dyDescent="0.35">
      <c r="A114" s="8">
        <v>113</v>
      </c>
      <c r="B114" s="9">
        <v>44940</v>
      </c>
      <c r="C114" s="8" t="s">
        <v>140</v>
      </c>
      <c r="D114" s="8" t="s">
        <v>25</v>
      </c>
      <c r="E114" s="10">
        <v>488.12</v>
      </c>
      <c r="F114" s="8">
        <v>20</v>
      </c>
      <c r="G114" s="8">
        <v>2</v>
      </c>
      <c r="H114" s="8" t="s">
        <v>14</v>
      </c>
      <c r="I114" s="8" t="s">
        <v>26</v>
      </c>
      <c r="J114" s="8">
        <v>4.3</v>
      </c>
      <c r="K114" s="8">
        <v>120</v>
      </c>
      <c r="L114" s="10">
        <v>390.5</v>
      </c>
      <c r="M114" s="10">
        <v>781</v>
      </c>
      <c r="O114" s="14" t="str">
        <f t="shared" si="2"/>
        <v>Low</v>
      </c>
      <c r="P114" s="12" t="str">
        <f t="shared" si="3"/>
        <v>Good</v>
      </c>
    </row>
    <row r="115" spans="1:16" x14ac:dyDescent="0.35">
      <c r="A115" s="8">
        <v>114</v>
      </c>
      <c r="B115" s="9">
        <v>45051</v>
      </c>
      <c r="C115" s="8" t="s">
        <v>141</v>
      </c>
      <c r="D115" s="8" t="s">
        <v>25</v>
      </c>
      <c r="E115" s="10">
        <v>64.33</v>
      </c>
      <c r="F115" s="8">
        <v>0</v>
      </c>
      <c r="G115" s="8">
        <v>1</v>
      </c>
      <c r="H115" s="8" t="s">
        <v>20</v>
      </c>
      <c r="I115" s="8" t="s">
        <v>26</v>
      </c>
      <c r="J115" s="8">
        <v>3.2</v>
      </c>
      <c r="K115" s="8">
        <v>91</v>
      </c>
      <c r="L115" s="10">
        <v>64.33</v>
      </c>
      <c r="M115" s="10">
        <v>64.33</v>
      </c>
      <c r="O115" s="14" t="str">
        <f t="shared" si="2"/>
        <v>Low</v>
      </c>
      <c r="P115" s="12" t="str">
        <f t="shared" si="3"/>
        <v>Good</v>
      </c>
    </row>
    <row r="116" spans="1:16" x14ac:dyDescent="0.35">
      <c r="A116" s="8">
        <v>115</v>
      </c>
      <c r="B116" s="9">
        <v>44792</v>
      </c>
      <c r="C116" s="8" t="s">
        <v>142</v>
      </c>
      <c r="D116" s="8" t="s">
        <v>25</v>
      </c>
      <c r="E116" s="10">
        <v>480.63</v>
      </c>
      <c r="F116" s="8">
        <v>10</v>
      </c>
      <c r="G116" s="8">
        <v>4</v>
      </c>
      <c r="H116" s="8" t="s">
        <v>21</v>
      </c>
      <c r="I116" s="8" t="s">
        <v>26</v>
      </c>
      <c r="J116" s="8">
        <v>4.8</v>
      </c>
      <c r="K116" s="8">
        <v>176</v>
      </c>
      <c r="L116" s="10">
        <v>432.57</v>
      </c>
      <c r="M116" s="10">
        <v>1730.28</v>
      </c>
      <c r="O116" s="14" t="str">
        <f t="shared" si="2"/>
        <v>High</v>
      </c>
      <c r="P116" s="12" t="str">
        <f t="shared" si="3"/>
        <v>Excellent</v>
      </c>
    </row>
    <row r="117" spans="1:16" x14ac:dyDescent="0.35">
      <c r="A117" s="8">
        <v>116</v>
      </c>
      <c r="B117" s="9">
        <v>44602</v>
      </c>
      <c r="C117" s="8" t="s">
        <v>143</v>
      </c>
      <c r="D117" s="8" t="s">
        <v>27</v>
      </c>
      <c r="E117" s="10">
        <v>39.979999999999997</v>
      </c>
      <c r="F117" s="8">
        <v>5</v>
      </c>
      <c r="G117" s="8">
        <v>2</v>
      </c>
      <c r="H117" s="8" t="s">
        <v>14</v>
      </c>
      <c r="I117" s="8" t="s">
        <v>18</v>
      </c>
      <c r="J117" s="8">
        <v>1.6</v>
      </c>
      <c r="K117" s="8">
        <v>216</v>
      </c>
      <c r="L117" s="10">
        <v>37.979999999999997</v>
      </c>
      <c r="M117" s="10">
        <v>75.959999999999994</v>
      </c>
      <c r="O117" s="14" t="str">
        <f t="shared" si="2"/>
        <v>Low</v>
      </c>
      <c r="P117" s="12" t="str">
        <f t="shared" si="3"/>
        <v>Poor</v>
      </c>
    </row>
    <row r="118" spans="1:16" x14ac:dyDescent="0.35">
      <c r="A118" s="8">
        <v>117</v>
      </c>
      <c r="B118" s="9">
        <v>44589</v>
      </c>
      <c r="C118" s="8" t="s">
        <v>144</v>
      </c>
      <c r="D118" s="8" t="s">
        <v>27</v>
      </c>
      <c r="E118" s="10">
        <v>241.28</v>
      </c>
      <c r="F118" s="8">
        <v>0</v>
      </c>
      <c r="G118" s="8">
        <v>1</v>
      </c>
      <c r="H118" s="8" t="s">
        <v>21</v>
      </c>
      <c r="I118" s="8" t="s">
        <v>18</v>
      </c>
      <c r="J118" s="8">
        <v>1.1000000000000001</v>
      </c>
      <c r="K118" s="8">
        <v>456</v>
      </c>
      <c r="L118" s="10">
        <v>241.28</v>
      </c>
      <c r="M118" s="10">
        <v>241.28</v>
      </c>
      <c r="O118" s="14" t="str">
        <f t="shared" si="2"/>
        <v>Low</v>
      </c>
      <c r="P118" s="12" t="str">
        <f t="shared" si="3"/>
        <v>Poor</v>
      </c>
    </row>
    <row r="119" spans="1:16" x14ac:dyDescent="0.35">
      <c r="A119" s="8">
        <v>118</v>
      </c>
      <c r="B119" s="9">
        <v>44696</v>
      </c>
      <c r="C119" s="8" t="s">
        <v>145</v>
      </c>
      <c r="D119" s="8" t="s">
        <v>25</v>
      </c>
      <c r="E119" s="10">
        <v>428.24</v>
      </c>
      <c r="F119" s="8">
        <v>30</v>
      </c>
      <c r="G119" s="8">
        <v>5</v>
      </c>
      <c r="H119" s="8" t="s">
        <v>21</v>
      </c>
      <c r="I119" s="8" t="s">
        <v>18</v>
      </c>
      <c r="J119" s="8">
        <v>4.3</v>
      </c>
      <c r="K119" s="8">
        <v>110</v>
      </c>
      <c r="L119" s="10">
        <v>299.77</v>
      </c>
      <c r="M119" s="10">
        <v>1498.85</v>
      </c>
      <c r="O119" s="14" t="str">
        <f t="shared" si="2"/>
        <v>High</v>
      </c>
      <c r="P119" s="12" t="str">
        <f t="shared" si="3"/>
        <v>Good</v>
      </c>
    </row>
    <row r="120" spans="1:16" x14ac:dyDescent="0.35">
      <c r="A120" s="8">
        <v>119</v>
      </c>
      <c r="B120" s="9">
        <v>44762</v>
      </c>
      <c r="C120" s="8" t="s">
        <v>146</v>
      </c>
      <c r="D120" s="8" t="s">
        <v>19</v>
      </c>
      <c r="E120" s="10">
        <v>278.83</v>
      </c>
      <c r="F120" s="8">
        <v>20</v>
      </c>
      <c r="G120" s="8">
        <v>1</v>
      </c>
      <c r="H120" s="8" t="s">
        <v>20</v>
      </c>
      <c r="I120" s="8" t="s">
        <v>18</v>
      </c>
      <c r="J120" s="8">
        <v>4.3</v>
      </c>
      <c r="K120" s="8">
        <v>172</v>
      </c>
      <c r="L120" s="10">
        <v>223.06</v>
      </c>
      <c r="M120" s="10">
        <v>223.06</v>
      </c>
      <c r="O120" s="14" t="str">
        <f t="shared" si="2"/>
        <v>Low</v>
      </c>
      <c r="P120" s="12" t="str">
        <f t="shared" si="3"/>
        <v>Good</v>
      </c>
    </row>
    <row r="121" spans="1:16" x14ac:dyDescent="0.35">
      <c r="A121" s="8">
        <v>120</v>
      </c>
      <c r="B121" s="9">
        <v>44594</v>
      </c>
      <c r="C121" s="8" t="s">
        <v>147</v>
      </c>
      <c r="D121" s="8" t="s">
        <v>27</v>
      </c>
      <c r="E121" s="10">
        <v>293.81</v>
      </c>
      <c r="F121" s="8">
        <v>30</v>
      </c>
      <c r="G121" s="8">
        <v>4</v>
      </c>
      <c r="H121" s="8" t="s">
        <v>14</v>
      </c>
      <c r="I121" s="8" t="s">
        <v>15</v>
      </c>
      <c r="J121" s="8">
        <v>1.5</v>
      </c>
      <c r="K121" s="8">
        <v>342</v>
      </c>
      <c r="L121" s="10">
        <v>205.67</v>
      </c>
      <c r="M121" s="10">
        <v>822.68</v>
      </c>
      <c r="O121" s="14" t="str">
        <f t="shared" si="2"/>
        <v>Low</v>
      </c>
      <c r="P121" s="12" t="str">
        <f t="shared" si="3"/>
        <v>Poor</v>
      </c>
    </row>
    <row r="122" spans="1:16" x14ac:dyDescent="0.35">
      <c r="A122" s="8">
        <v>121</v>
      </c>
      <c r="B122" s="9">
        <v>44609</v>
      </c>
      <c r="C122" s="8" t="s">
        <v>148</v>
      </c>
      <c r="D122" s="8" t="s">
        <v>19</v>
      </c>
      <c r="E122" s="10">
        <v>84.69</v>
      </c>
      <c r="F122" s="8">
        <v>5</v>
      </c>
      <c r="G122" s="8">
        <v>3</v>
      </c>
      <c r="H122" s="8" t="s">
        <v>14</v>
      </c>
      <c r="I122" s="8" t="s">
        <v>15</v>
      </c>
      <c r="J122" s="8">
        <v>4.4000000000000004</v>
      </c>
      <c r="K122" s="8">
        <v>173</v>
      </c>
      <c r="L122" s="10">
        <v>80.459999999999994</v>
      </c>
      <c r="M122" s="10">
        <v>241.38</v>
      </c>
      <c r="O122" s="14" t="str">
        <f t="shared" si="2"/>
        <v>Low</v>
      </c>
      <c r="P122" s="12" t="str">
        <f t="shared" si="3"/>
        <v>Good</v>
      </c>
    </row>
    <row r="123" spans="1:16" x14ac:dyDescent="0.35">
      <c r="A123" s="8">
        <v>122</v>
      </c>
      <c r="B123" s="9">
        <v>45064</v>
      </c>
      <c r="C123" s="8" t="s">
        <v>149</v>
      </c>
      <c r="D123" s="8" t="s">
        <v>27</v>
      </c>
      <c r="E123" s="10">
        <v>492.25</v>
      </c>
      <c r="F123" s="8">
        <v>15</v>
      </c>
      <c r="G123" s="8">
        <v>2</v>
      </c>
      <c r="H123" s="8" t="s">
        <v>17</v>
      </c>
      <c r="I123" s="8" t="s">
        <v>24</v>
      </c>
      <c r="J123" s="8">
        <v>3</v>
      </c>
      <c r="K123" s="8">
        <v>364</v>
      </c>
      <c r="L123" s="10">
        <v>418.41</v>
      </c>
      <c r="M123" s="10">
        <v>836.82</v>
      </c>
      <c r="O123" s="14" t="str">
        <f t="shared" si="2"/>
        <v>Low</v>
      </c>
      <c r="P123" s="12" t="str">
        <f t="shared" si="3"/>
        <v>Good</v>
      </c>
    </row>
    <row r="124" spans="1:16" x14ac:dyDescent="0.35">
      <c r="A124" s="8">
        <v>123</v>
      </c>
      <c r="B124" s="9">
        <v>44968</v>
      </c>
      <c r="C124" s="8" t="s">
        <v>150</v>
      </c>
      <c r="D124" s="8" t="s">
        <v>27</v>
      </c>
      <c r="E124" s="10">
        <v>119.41</v>
      </c>
      <c r="F124" s="8">
        <v>20</v>
      </c>
      <c r="G124" s="8">
        <v>4</v>
      </c>
      <c r="H124" s="8" t="s">
        <v>17</v>
      </c>
      <c r="I124" s="8" t="s">
        <v>24</v>
      </c>
      <c r="J124" s="8">
        <v>1.9</v>
      </c>
      <c r="K124" s="8">
        <v>328</v>
      </c>
      <c r="L124" s="10">
        <v>95.53</v>
      </c>
      <c r="M124" s="10">
        <v>382.12</v>
      </c>
      <c r="O124" s="14" t="str">
        <f t="shared" si="2"/>
        <v>Low</v>
      </c>
      <c r="P124" s="12" t="str">
        <f t="shared" si="3"/>
        <v>Poor</v>
      </c>
    </row>
    <row r="125" spans="1:16" x14ac:dyDescent="0.35">
      <c r="A125" s="8">
        <v>124</v>
      </c>
      <c r="B125" s="9">
        <v>45135</v>
      </c>
      <c r="C125" s="8" t="s">
        <v>151</v>
      </c>
      <c r="D125" s="8" t="s">
        <v>25</v>
      </c>
      <c r="E125" s="10">
        <v>430.17</v>
      </c>
      <c r="F125" s="8">
        <v>15</v>
      </c>
      <c r="G125" s="8">
        <v>1</v>
      </c>
      <c r="H125" s="8" t="s">
        <v>17</v>
      </c>
      <c r="I125" s="8" t="s">
        <v>23</v>
      </c>
      <c r="J125" s="8">
        <v>1.2</v>
      </c>
      <c r="K125" s="8">
        <v>172</v>
      </c>
      <c r="L125" s="10">
        <v>365.64</v>
      </c>
      <c r="M125" s="10">
        <v>365.64</v>
      </c>
      <c r="O125" s="14" t="str">
        <f t="shared" si="2"/>
        <v>Low</v>
      </c>
      <c r="P125" s="12" t="str">
        <f t="shared" si="3"/>
        <v>Poor</v>
      </c>
    </row>
    <row r="126" spans="1:16" x14ac:dyDescent="0.35">
      <c r="A126" s="8">
        <v>125</v>
      </c>
      <c r="B126" s="9">
        <v>45289</v>
      </c>
      <c r="C126" s="8" t="s">
        <v>152</v>
      </c>
      <c r="D126" s="8" t="s">
        <v>16</v>
      </c>
      <c r="E126" s="10">
        <v>478.5</v>
      </c>
      <c r="F126" s="8">
        <v>20</v>
      </c>
      <c r="G126" s="8">
        <v>4</v>
      </c>
      <c r="H126" s="8" t="s">
        <v>14</v>
      </c>
      <c r="I126" s="8" t="s">
        <v>18</v>
      </c>
      <c r="J126" s="8">
        <v>1.8</v>
      </c>
      <c r="K126" s="8">
        <v>26</v>
      </c>
      <c r="L126" s="10">
        <v>382.8</v>
      </c>
      <c r="M126" s="10">
        <v>1531.2</v>
      </c>
      <c r="O126" s="14" t="str">
        <f t="shared" si="2"/>
        <v>High</v>
      </c>
      <c r="P126" s="12" t="str">
        <f t="shared" si="3"/>
        <v>Poor</v>
      </c>
    </row>
    <row r="127" spans="1:16" x14ac:dyDescent="0.35">
      <c r="A127" s="8">
        <v>126</v>
      </c>
      <c r="B127" s="9">
        <v>44660</v>
      </c>
      <c r="C127" s="8" t="s">
        <v>153</v>
      </c>
      <c r="D127" s="8" t="s">
        <v>19</v>
      </c>
      <c r="E127" s="10">
        <v>143.99</v>
      </c>
      <c r="F127" s="8">
        <v>10</v>
      </c>
      <c r="G127" s="8">
        <v>4</v>
      </c>
      <c r="H127" s="8" t="s">
        <v>21</v>
      </c>
      <c r="I127" s="8" t="s">
        <v>15</v>
      </c>
      <c r="J127" s="8">
        <v>4.4000000000000004</v>
      </c>
      <c r="K127" s="8">
        <v>278</v>
      </c>
      <c r="L127" s="10">
        <v>129.59</v>
      </c>
      <c r="M127" s="10">
        <v>518.36</v>
      </c>
      <c r="O127" s="14" t="str">
        <f t="shared" si="2"/>
        <v>Low</v>
      </c>
      <c r="P127" s="12" t="str">
        <f t="shared" si="3"/>
        <v>Good</v>
      </c>
    </row>
    <row r="128" spans="1:16" x14ac:dyDescent="0.35">
      <c r="A128" s="8">
        <v>127</v>
      </c>
      <c r="B128" s="9">
        <v>45245</v>
      </c>
      <c r="C128" s="8" t="s">
        <v>154</v>
      </c>
      <c r="D128" s="8" t="s">
        <v>19</v>
      </c>
      <c r="E128" s="10">
        <v>366.6</v>
      </c>
      <c r="F128" s="8">
        <v>5</v>
      </c>
      <c r="G128" s="8">
        <v>3</v>
      </c>
      <c r="H128" s="8" t="s">
        <v>14</v>
      </c>
      <c r="I128" s="8" t="s">
        <v>24</v>
      </c>
      <c r="J128" s="8">
        <v>4</v>
      </c>
      <c r="K128" s="8">
        <v>346</v>
      </c>
      <c r="L128" s="10">
        <v>348.27</v>
      </c>
      <c r="M128" s="10">
        <v>1044.81</v>
      </c>
      <c r="O128" s="14" t="str">
        <f t="shared" si="2"/>
        <v>High</v>
      </c>
      <c r="P128" s="12" t="str">
        <f t="shared" si="3"/>
        <v>Good</v>
      </c>
    </row>
    <row r="129" spans="1:16" x14ac:dyDescent="0.35">
      <c r="A129" s="8">
        <v>128</v>
      </c>
      <c r="B129" s="9">
        <v>45287</v>
      </c>
      <c r="C129" s="8" t="s">
        <v>155</v>
      </c>
      <c r="D129" s="8" t="s">
        <v>16</v>
      </c>
      <c r="E129" s="10">
        <v>44.79</v>
      </c>
      <c r="F129" s="8">
        <v>0</v>
      </c>
      <c r="G129" s="8">
        <v>3</v>
      </c>
      <c r="H129" s="8" t="s">
        <v>14</v>
      </c>
      <c r="I129" s="8" t="s">
        <v>26</v>
      </c>
      <c r="J129" s="8">
        <v>4.5</v>
      </c>
      <c r="K129" s="8">
        <v>176</v>
      </c>
      <c r="L129" s="10">
        <v>44.79</v>
      </c>
      <c r="M129" s="10">
        <v>134.37</v>
      </c>
      <c r="O129" s="14" t="str">
        <f t="shared" si="2"/>
        <v>Low</v>
      </c>
      <c r="P129" s="12" t="str">
        <f t="shared" si="3"/>
        <v>Excellent</v>
      </c>
    </row>
    <row r="130" spans="1:16" x14ac:dyDescent="0.35">
      <c r="A130" s="8">
        <v>129</v>
      </c>
      <c r="B130" s="9">
        <v>45108</v>
      </c>
      <c r="C130" s="8" t="s">
        <v>156</v>
      </c>
      <c r="D130" s="8" t="s">
        <v>13</v>
      </c>
      <c r="E130" s="10">
        <v>372.02</v>
      </c>
      <c r="F130" s="8">
        <v>15</v>
      </c>
      <c r="G130" s="8">
        <v>1</v>
      </c>
      <c r="H130" s="8" t="s">
        <v>20</v>
      </c>
      <c r="I130" s="8" t="s">
        <v>23</v>
      </c>
      <c r="J130" s="8">
        <v>5</v>
      </c>
      <c r="K130" s="8">
        <v>354</v>
      </c>
      <c r="L130" s="10">
        <v>316.22000000000003</v>
      </c>
      <c r="M130" s="10">
        <v>316.22000000000003</v>
      </c>
      <c r="O130" s="14" t="str">
        <f t="shared" si="2"/>
        <v>Low</v>
      </c>
      <c r="P130" s="12" t="str">
        <f t="shared" si="3"/>
        <v>Excellent</v>
      </c>
    </row>
    <row r="131" spans="1:16" x14ac:dyDescent="0.35">
      <c r="A131" s="8">
        <v>130</v>
      </c>
      <c r="B131" s="9">
        <v>45174</v>
      </c>
      <c r="C131" s="8" t="s">
        <v>157</v>
      </c>
      <c r="D131" s="8" t="s">
        <v>22</v>
      </c>
      <c r="E131" s="10">
        <v>244.75</v>
      </c>
      <c r="F131" s="8">
        <v>15</v>
      </c>
      <c r="G131" s="8">
        <v>3</v>
      </c>
      <c r="H131" s="8" t="s">
        <v>21</v>
      </c>
      <c r="I131" s="8" t="s">
        <v>18</v>
      </c>
      <c r="J131" s="8">
        <v>4.5</v>
      </c>
      <c r="K131" s="8">
        <v>276</v>
      </c>
      <c r="L131" s="10">
        <v>208.04</v>
      </c>
      <c r="M131" s="10">
        <v>624.12</v>
      </c>
      <c r="O131" s="14" t="str">
        <f t="shared" ref="O131:O194" si="4">IF(M131 &gt; 1000, "High", "Low")</f>
        <v>Low</v>
      </c>
      <c r="P131" s="12" t="str">
        <f t="shared" ref="P131:P194" si="5">IF(J131 &gt;= 4.5, "Excellent", IF(J131 &gt;= 3, "Good", "Poor"))</f>
        <v>Excellent</v>
      </c>
    </row>
    <row r="132" spans="1:16" x14ac:dyDescent="0.35">
      <c r="A132" s="8">
        <v>131</v>
      </c>
      <c r="B132" s="9">
        <v>45023</v>
      </c>
      <c r="C132" s="8" t="s">
        <v>158</v>
      </c>
      <c r="D132" s="8" t="s">
        <v>16</v>
      </c>
      <c r="E132" s="10">
        <v>63.38</v>
      </c>
      <c r="F132" s="8">
        <v>15</v>
      </c>
      <c r="G132" s="8">
        <v>1</v>
      </c>
      <c r="H132" s="8" t="s">
        <v>21</v>
      </c>
      <c r="I132" s="8" t="s">
        <v>26</v>
      </c>
      <c r="J132" s="8">
        <v>4.7</v>
      </c>
      <c r="K132" s="8">
        <v>1</v>
      </c>
      <c r="L132" s="10">
        <v>53.87</v>
      </c>
      <c r="M132" s="10">
        <v>53.87</v>
      </c>
      <c r="O132" s="14" t="str">
        <f t="shared" si="4"/>
        <v>Low</v>
      </c>
      <c r="P132" s="12" t="str">
        <f t="shared" si="5"/>
        <v>Excellent</v>
      </c>
    </row>
    <row r="133" spans="1:16" x14ac:dyDescent="0.35">
      <c r="A133" s="8">
        <v>132</v>
      </c>
      <c r="B133" s="9">
        <v>45204</v>
      </c>
      <c r="C133" s="8" t="s">
        <v>159</v>
      </c>
      <c r="D133" s="8" t="s">
        <v>13</v>
      </c>
      <c r="E133" s="10">
        <v>447.85</v>
      </c>
      <c r="F133" s="8">
        <v>10</v>
      </c>
      <c r="G133" s="8">
        <v>3</v>
      </c>
      <c r="H133" s="8" t="s">
        <v>21</v>
      </c>
      <c r="I133" s="8" t="s">
        <v>23</v>
      </c>
      <c r="J133" s="8">
        <v>4.7</v>
      </c>
      <c r="K133" s="8">
        <v>399</v>
      </c>
      <c r="L133" s="10">
        <v>403.07</v>
      </c>
      <c r="M133" s="10">
        <v>1209.21</v>
      </c>
      <c r="O133" s="14" t="str">
        <f t="shared" si="4"/>
        <v>High</v>
      </c>
      <c r="P133" s="12" t="str">
        <f t="shared" si="5"/>
        <v>Excellent</v>
      </c>
    </row>
    <row r="134" spans="1:16" x14ac:dyDescent="0.35">
      <c r="A134" s="8">
        <v>133</v>
      </c>
      <c r="B134" s="9">
        <v>44566</v>
      </c>
      <c r="C134" s="8" t="s">
        <v>160</v>
      </c>
      <c r="D134" s="8" t="s">
        <v>16</v>
      </c>
      <c r="E134" s="10">
        <v>341.04</v>
      </c>
      <c r="F134" s="8">
        <v>10</v>
      </c>
      <c r="G134" s="8">
        <v>4</v>
      </c>
      <c r="H134" s="8" t="s">
        <v>21</v>
      </c>
      <c r="I134" s="8" t="s">
        <v>18</v>
      </c>
      <c r="J134" s="8">
        <v>2.2000000000000002</v>
      </c>
      <c r="K134" s="8">
        <v>203</v>
      </c>
      <c r="L134" s="10">
        <v>306.94</v>
      </c>
      <c r="M134" s="10">
        <v>1227.76</v>
      </c>
      <c r="O134" s="14" t="str">
        <f t="shared" si="4"/>
        <v>High</v>
      </c>
      <c r="P134" s="12" t="str">
        <f t="shared" si="5"/>
        <v>Poor</v>
      </c>
    </row>
    <row r="135" spans="1:16" x14ac:dyDescent="0.35">
      <c r="A135" s="8">
        <v>134</v>
      </c>
      <c r="B135" s="9">
        <v>44779</v>
      </c>
      <c r="C135" s="8" t="s">
        <v>161</v>
      </c>
      <c r="D135" s="8" t="s">
        <v>25</v>
      </c>
      <c r="E135" s="10">
        <v>88.45</v>
      </c>
      <c r="F135" s="8">
        <v>30</v>
      </c>
      <c r="G135" s="8">
        <v>1</v>
      </c>
      <c r="H135" s="8" t="s">
        <v>17</v>
      </c>
      <c r="I135" s="8" t="s">
        <v>18</v>
      </c>
      <c r="J135" s="8">
        <v>2.4</v>
      </c>
      <c r="K135" s="8">
        <v>397</v>
      </c>
      <c r="L135" s="10">
        <v>61.92</v>
      </c>
      <c r="M135" s="10">
        <v>61.92</v>
      </c>
      <c r="O135" s="14" t="str">
        <f t="shared" si="4"/>
        <v>Low</v>
      </c>
      <c r="P135" s="12" t="str">
        <f t="shared" si="5"/>
        <v>Poor</v>
      </c>
    </row>
    <row r="136" spans="1:16" x14ac:dyDescent="0.35">
      <c r="A136" s="8">
        <v>135</v>
      </c>
      <c r="B136" s="9">
        <v>45064</v>
      </c>
      <c r="C136" s="8" t="s">
        <v>162</v>
      </c>
      <c r="D136" s="8" t="s">
        <v>13</v>
      </c>
      <c r="E136" s="10">
        <v>268.74</v>
      </c>
      <c r="F136" s="8">
        <v>10</v>
      </c>
      <c r="G136" s="8">
        <v>1</v>
      </c>
      <c r="H136" s="8" t="s">
        <v>21</v>
      </c>
      <c r="I136" s="8" t="s">
        <v>15</v>
      </c>
      <c r="J136" s="8">
        <v>3.4</v>
      </c>
      <c r="K136" s="8">
        <v>115</v>
      </c>
      <c r="L136" s="10">
        <v>241.87</v>
      </c>
      <c r="M136" s="10">
        <v>241.87</v>
      </c>
      <c r="O136" s="14" t="str">
        <f t="shared" si="4"/>
        <v>Low</v>
      </c>
      <c r="P136" s="12" t="str">
        <f t="shared" si="5"/>
        <v>Good</v>
      </c>
    </row>
    <row r="137" spans="1:16" x14ac:dyDescent="0.35">
      <c r="A137" s="8">
        <v>136</v>
      </c>
      <c r="B137" s="9">
        <v>44959</v>
      </c>
      <c r="C137" s="8" t="s">
        <v>163</v>
      </c>
      <c r="D137" s="8" t="s">
        <v>25</v>
      </c>
      <c r="E137" s="10">
        <v>166.31</v>
      </c>
      <c r="F137" s="8">
        <v>20</v>
      </c>
      <c r="G137" s="8">
        <v>1</v>
      </c>
      <c r="H137" s="8" t="s">
        <v>20</v>
      </c>
      <c r="I137" s="8" t="s">
        <v>24</v>
      </c>
      <c r="J137" s="8">
        <v>2</v>
      </c>
      <c r="K137" s="8">
        <v>391</v>
      </c>
      <c r="L137" s="10">
        <v>133.05000000000001</v>
      </c>
      <c r="M137" s="10">
        <v>133.05000000000001</v>
      </c>
      <c r="O137" s="14" t="str">
        <f t="shared" si="4"/>
        <v>Low</v>
      </c>
      <c r="P137" s="12" t="str">
        <f t="shared" si="5"/>
        <v>Poor</v>
      </c>
    </row>
    <row r="138" spans="1:16" x14ac:dyDescent="0.35">
      <c r="A138" s="8">
        <v>137</v>
      </c>
      <c r="B138" s="9">
        <v>44954</v>
      </c>
      <c r="C138" s="8" t="s">
        <v>164</v>
      </c>
      <c r="D138" s="8" t="s">
        <v>25</v>
      </c>
      <c r="E138" s="10">
        <v>356.73</v>
      </c>
      <c r="F138" s="8">
        <v>30</v>
      </c>
      <c r="G138" s="8">
        <v>1</v>
      </c>
      <c r="H138" s="8" t="s">
        <v>14</v>
      </c>
      <c r="I138" s="8" t="s">
        <v>18</v>
      </c>
      <c r="J138" s="8">
        <v>2</v>
      </c>
      <c r="K138" s="8">
        <v>25</v>
      </c>
      <c r="L138" s="10">
        <v>249.71</v>
      </c>
      <c r="M138" s="10">
        <v>249.71</v>
      </c>
      <c r="O138" s="14" t="str">
        <f t="shared" si="4"/>
        <v>Low</v>
      </c>
      <c r="P138" s="12" t="str">
        <f t="shared" si="5"/>
        <v>Poor</v>
      </c>
    </row>
    <row r="139" spans="1:16" x14ac:dyDescent="0.35">
      <c r="A139" s="8">
        <v>138</v>
      </c>
      <c r="B139" s="9">
        <v>44768</v>
      </c>
      <c r="C139" s="8" t="s">
        <v>165</v>
      </c>
      <c r="D139" s="8" t="s">
        <v>13</v>
      </c>
      <c r="E139" s="10">
        <v>315.58999999999997</v>
      </c>
      <c r="F139" s="8">
        <v>30</v>
      </c>
      <c r="G139" s="8">
        <v>2</v>
      </c>
      <c r="H139" s="8" t="s">
        <v>14</v>
      </c>
      <c r="I139" s="8" t="s">
        <v>23</v>
      </c>
      <c r="J139" s="8">
        <v>3.9</v>
      </c>
      <c r="K139" s="8">
        <v>311</v>
      </c>
      <c r="L139" s="10">
        <v>220.91</v>
      </c>
      <c r="M139" s="10">
        <v>441.82</v>
      </c>
      <c r="O139" s="14" t="str">
        <f t="shared" si="4"/>
        <v>Low</v>
      </c>
      <c r="P139" s="12" t="str">
        <f t="shared" si="5"/>
        <v>Good</v>
      </c>
    </row>
    <row r="140" spans="1:16" x14ac:dyDescent="0.35">
      <c r="A140" s="8">
        <v>139</v>
      </c>
      <c r="B140" s="9">
        <v>44576</v>
      </c>
      <c r="C140" s="8" t="s">
        <v>166</v>
      </c>
      <c r="D140" s="8" t="s">
        <v>19</v>
      </c>
      <c r="E140" s="10">
        <v>98.82</v>
      </c>
      <c r="F140" s="8">
        <v>10</v>
      </c>
      <c r="G140" s="8">
        <v>1</v>
      </c>
      <c r="H140" s="8" t="s">
        <v>20</v>
      </c>
      <c r="I140" s="8" t="s">
        <v>15</v>
      </c>
      <c r="J140" s="8">
        <v>2</v>
      </c>
      <c r="K140" s="8">
        <v>442</v>
      </c>
      <c r="L140" s="10">
        <v>88.94</v>
      </c>
      <c r="M140" s="10">
        <v>88.94</v>
      </c>
      <c r="O140" s="14" t="str">
        <f t="shared" si="4"/>
        <v>Low</v>
      </c>
      <c r="P140" s="12" t="str">
        <f t="shared" si="5"/>
        <v>Poor</v>
      </c>
    </row>
    <row r="141" spans="1:16" x14ac:dyDescent="0.35">
      <c r="A141" s="8">
        <v>140</v>
      </c>
      <c r="B141" s="9">
        <v>45115</v>
      </c>
      <c r="C141" s="8" t="s">
        <v>167</v>
      </c>
      <c r="D141" s="8" t="s">
        <v>19</v>
      </c>
      <c r="E141" s="10">
        <v>124.85</v>
      </c>
      <c r="F141" s="8">
        <v>30</v>
      </c>
      <c r="G141" s="8">
        <v>5</v>
      </c>
      <c r="H141" s="8" t="s">
        <v>14</v>
      </c>
      <c r="I141" s="8" t="s">
        <v>26</v>
      </c>
      <c r="J141" s="8">
        <v>3.7</v>
      </c>
      <c r="K141" s="8">
        <v>248</v>
      </c>
      <c r="L141" s="10">
        <v>87.4</v>
      </c>
      <c r="M141" s="10">
        <v>437</v>
      </c>
      <c r="O141" s="14" t="str">
        <f t="shared" si="4"/>
        <v>Low</v>
      </c>
      <c r="P141" s="12" t="str">
        <f t="shared" si="5"/>
        <v>Good</v>
      </c>
    </row>
    <row r="142" spans="1:16" x14ac:dyDescent="0.35">
      <c r="A142" s="8">
        <v>141</v>
      </c>
      <c r="B142" s="9">
        <v>45022</v>
      </c>
      <c r="C142" s="8" t="s">
        <v>168</v>
      </c>
      <c r="D142" s="8" t="s">
        <v>13</v>
      </c>
      <c r="E142" s="10">
        <v>353.75</v>
      </c>
      <c r="F142" s="8">
        <v>30</v>
      </c>
      <c r="G142" s="8">
        <v>1</v>
      </c>
      <c r="H142" s="8" t="s">
        <v>17</v>
      </c>
      <c r="I142" s="8" t="s">
        <v>24</v>
      </c>
      <c r="J142" s="8">
        <v>4.5999999999999996</v>
      </c>
      <c r="K142" s="8">
        <v>25</v>
      </c>
      <c r="L142" s="10">
        <v>247.62</v>
      </c>
      <c r="M142" s="10">
        <v>247.62</v>
      </c>
      <c r="O142" s="14" t="str">
        <f t="shared" si="4"/>
        <v>Low</v>
      </c>
      <c r="P142" s="12" t="str">
        <f t="shared" si="5"/>
        <v>Excellent</v>
      </c>
    </row>
    <row r="143" spans="1:16" x14ac:dyDescent="0.35">
      <c r="A143" s="8">
        <v>142</v>
      </c>
      <c r="B143" s="9">
        <v>45252</v>
      </c>
      <c r="C143" s="8" t="s">
        <v>169</v>
      </c>
      <c r="D143" s="8" t="s">
        <v>16</v>
      </c>
      <c r="E143" s="10">
        <v>339.21</v>
      </c>
      <c r="F143" s="8">
        <v>5</v>
      </c>
      <c r="G143" s="8">
        <v>3</v>
      </c>
      <c r="H143" s="8" t="s">
        <v>21</v>
      </c>
      <c r="I143" s="8" t="s">
        <v>23</v>
      </c>
      <c r="J143" s="8">
        <v>1.4</v>
      </c>
      <c r="K143" s="8">
        <v>330</v>
      </c>
      <c r="L143" s="10">
        <v>322.25</v>
      </c>
      <c r="M143" s="10">
        <v>966.75</v>
      </c>
      <c r="O143" s="14" t="str">
        <f t="shared" si="4"/>
        <v>Low</v>
      </c>
      <c r="P143" s="12" t="str">
        <f t="shared" si="5"/>
        <v>Poor</v>
      </c>
    </row>
    <row r="144" spans="1:16" x14ac:dyDescent="0.35">
      <c r="A144" s="8">
        <v>143</v>
      </c>
      <c r="B144" s="9">
        <v>45136</v>
      </c>
      <c r="C144" s="8" t="s">
        <v>170</v>
      </c>
      <c r="D144" s="8" t="s">
        <v>16</v>
      </c>
      <c r="E144" s="10">
        <v>159.56</v>
      </c>
      <c r="F144" s="8">
        <v>5</v>
      </c>
      <c r="G144" s="8">
        <v>4</v>
      </c>
      <c r="H144" s="8" t="s">
        <v>14</v>
      </c>
      <c r="I144" s="8" t="s">
        <v>26</v>
      </c>
      <c r="J144" s="8">
        <v>3</v>
      </c>
      <c r="K144" s="8">
        <v>482</v>
      </c>
      <c r="L144" s="10">
        <v>151.58000000000001</v>
      </c>
      <c r="M144" s="10">
        <v>606.32000000000005</v>
      </c>
      <c r="O144" s="14" t="str">
        <f t="shared" si="4"/>
        <v>Low</v>
      </c>
      <c r="P144" s="12" t="str">
        <f t="shared" si="5"/>
        <v>Good</v>
      </c>
    </row>
    <row r="145" spans="1:16" x14ac:dyDescent="0.35">
      <c r="A145" s="8">
        <v>144</v>
      </c>
      <c r="B145" s="9">
        <v>44802</v>
      </c>
      <c r="C145" s="8" t="s">
        <v>171</v>
      </c>
      <c r="D145" s="8" t="s">
        <v>22</v>
      </c>
      <c r="E145" s="10">
        <v>241.73</v>
      </c>
      <c r="F145" s="8">
        <v>30</v>
      </c>
      <c r="G145" s="8">
        <v>3</v>
      </c>
      <c r="H145" s="8" t="s">
        <v>17</v>
      </c>
      <c r="I145" s="8" t="s">
        <v>23</v>
      </c>
      <c r="J145" s="8">
        <v>3.6</v>
      </c>
      <c r="K145" s="8">
        <v>364</v>
      </c>
      <c r="L145" s="10">
        <v>169.21</v>
      </c>
      <c r="M145" s="10">
        <v>507.63</v>
      </c>
      <c r="O145" s="14" t="str">
        <f t="shared" si="4"/>
        <v>Low</v>
      </c>
      <c r="P145" s="12" t="str">
        <f t="shared" si="5"/>
        <v>Good</v>
      </c>
    </row>
    <row r="146" spans="1:16" x14ac:dyDescent="0.35">
      <c r="A146" s="8">
        <v>145</v>
      </c>
      <c r="B146" s="9">
        <v>45125</v>
      </c>
      <c r="C146" s="8" t="s">
        <v>172</v>
      </c>
      <c r="D146" s="8" t="s">
        <v>16</v>
      </c>
      <c r="E146" s="10">
        <v>236.26</v>
      </c>
      <c r="F146" s="8">
        <v>20</v>
      </c>
      <c r="G146" s="8">
        <v>5</v>
      </c>
      <c r="H146" s="8" t="s">
        <v>17</v>
      </c>
      <c r="I146" s="8" t="s">
        <v>15</v>
      </c>
      <c r="J146" s="8">
        <v>1.5</v>
      </c>
      <c r="K146" s="8">
        <v>117</v>
      </c>
      <c r="L146" s="10">
        <v>189.01</v>
      </c>
      <c r="M146" s="10">
        <v>945.05</v>
      </c>
      <c r="O146" s="14" t="str">
        <f t="shared" si="4"/>
        <v>Low</v>
      </c>
      <c r="P146" s="12" t="str">
        <f t="shared" si="5"/>
        <v>Poor</v>
      </c>
    </row>
    <row r="147" spans="1:16" x14ac:dyDescent="0.35">
      <c r="A147" s="8">
        <v>146</v>
      </c>
      <c r="B147" s="9">
        <v>44657</v>
      </c>
      <c r="C147" s="8" t="s">
        <v>173</v>
      </c>
      <c r="D147" s="8" t="s">
        <v>19</v>
      </c>
      <c r="E147" s="10">
        <v>66.599999999999994</v>
      </c>
      <c r="F147" s="8">
        <v>15</v>
      </c>
      <c r="G147" s="8">
        <v>2</v>
      </c>
      <c r="H147" s="8" t="s">
        <v>20</v>
      </c>
      <c r="I147" s="8" t="s">
        <v>15</v>
      </c>
      <c r="J147" s="8">
        <v>1.6</v>
      </c>
      <c r="K147" s="8">
        <v>390</v>
      </c>
      <c r="L147" s="10">
        <v>56.61</v>
      </c>
      <c r="M147" s="10">
        <v>113.22</v>
      </c>
      <c r="O147" s="14" t="str">
        <f t="shared" si="4"/>
        <v>Low</v>
      </c>
      <c r="P147" s="12" t="str">
        <f t="shared" si="5"/>
        <v>Poor</v>
      </c>
    </row>
    <row r="148" spans="1:16" x14ac:dyDescent="0.35">
      <c r="A148" s="8">
        <v>147</v>
      </c>
      <c r="B148" s="9">
        <v>45046</v>
      </c>
      <c r="C148" s="8" t="s">
        <v>174</v>
      </c>
      <c r="D148" s="8" t="s">
        <v>13</v>
      </c>
      <c r="E148" s="10">
        <v>312.42</v>
      </c>
      <c r="F148" s="8">
        <v>10</v>
      </c>
      <c r="G148" s="8">
        <v>3</v>
      </c>
      <c r="H148" s="8" t="s">
        <v>21</v>
      </c>
      <c r="I148" s="8" t="s">
        <v>15</v>
      </c>
      <c r="J148" s="8">
        <v>1.4</v>
      </c>
      <c r="K148" s="8">
        <v>213</v>
      </c>
      <c r="L148" s="10">
        <v>281.18</v>
      </c>
      <c r="M148" s="10">
        <v>843.54</v>
      </c>
      <c r="O148" s="14" t="str">
        <f t="shared" si="4"/>
        <v>Low</v>
      </c>
      <c r="P148" s="12" t="str">
        <f t="shared" si="5"/>
        <v>Poor</v>
      </c>
    </row>
    <row r="149" spans="1:16" x14ac:dyDescent="0.35">
      <c r="A149" s="8">
        <v>148</v>
      </c>
      <c r="B149" s="9">
        <v>44968</v>
      </c>
      <c r="C149" s="8" t="s">
        <v>175</v>
      </c>
      <c r="D149" s="8" t="s">
        <v>16</v>
      </c>
      <c r="E149" s="10">
        <v>135.9</v>
      </c>
      <c r="F149" s="8">
        <v>10</v>
      </c>
      <c r="G149" s="8">
        <v>4</v>
      </c>
      <c r="H149" s="8" t="s">
        <v>20</v>
      </c>
      <c r="I149" s="8" t="s">
        <v>26</v>
      </c>
      <c r="J149" s="8">
        <v>4.4000000000000004</v>
      </c>
      <c r="K149" s="8">
        <v>302</v>
      </c>
      <c r="L149" s="10">
        <v>122.31</v>
      </c>
      <c r="M149" s="10">
        <v>489.24</v>
      </c>
      <c r="O149" s="14" t="str">
        <f t="shared" si="4"/>
        <v>Low</v>
      </c>
      <c r="P149" s="12" t="str">
        <f t="shared" si="5"/>
        <v>Good</v>
      </c>
    </row>
    <row r="150" spans="1:16" x14ac:dyDescent="0.35">
      <c r="A150" s="8">
        <v>149</v>
      </c>
      <c r="B150" s="9">
        <v>44792</v>
      </c>
      <c r="C150" s="8" t="s">
        <v>176</v>
      </c>
      <c r="D150" s="8" t="s">
        <v>13</v>
      </c>
      <c r="E150" s="10">
        <v>232.65</v>
      </c>
      <c r="F150" s="8">
        <v>10</v>
      </c>
      <c r="G150" s="8">
        <v>4</v>
      </c>
      <c r="H150" s="8" t="s">
        <v>21</v>
      </c>
      <c r="I150" s="8" t="s">
        <v>26</v>
      </c>
      <c r="J150" s="8">
        <v>1.8</v>
      </c>
      <c r="K150" s="8">
        <v>125</v>
      </c>
      <c r="L150" s="10">
        <v>209.39</v>
      </c>
      <c r="M150" s="10">
        <v>837.56</v>
      </c>
      <c r="O150" s="14" t="str">
        <f t="shared" si="4"/>
        <v>Low</v>
      </c>
      <c r="P150" s="12" t="str">
        <f t="shared" si="5"/>
        <v>Poor</v>
      </c>
    </row>
    <row r="151" spans="1:16" x14ac:dyDescent="0.35">
      <c r="A151" s="8">
        <v>150</v>
      </c>
      <c r="B151" s="9">
        <v>45216</v>
      </c>
      <c r="C151" s="8" t="s">
        <v>177</v>
      </c>
      <c r="D151" s="8" t="s">
        <v>22</v>
      </c>
      <c r="E151" s="10">
        <v>40.520000000000003</v>
      </c>
      <c r="F151" s="8">
        <v>15</v>
      </c>
      <c r="G151" s="8">
        <v>4</v>
      </c>
      <c r="H151" s="8" t="s">
        <v>20</v>
      </c>
      <c r="I151" s="8" t="s">
        <v>18</v>
      </c>
      <c r="J151" s="8">
        <v>3.3</v>
      </c>
      <c r="K151" s="8">
        <v>232</v>
      </c>
      <c r="L151" s="10">
        <v>34.44</v>
      </c>
      <c r="M151" s="10">
        <v>137.76</v>
      </c>
      <c r="O151" s="14" t="str">
        <f t="shared" si="4"/>
        <v>Low</v>
      </c>
      <c r="P151" s="12" t="str">
        <f t="shared" si="5"/>
        <v>Good</v>
      </c>
    </row>
    <row r="152" spans="1:16" x14ac:dyDescent="0.35">
      <c r="A152" s="8">
        <v>151</v>
      </c>
      <c r="B152" s="9">
        <v>44732</v>
      </c>
      <c r="C152" s="8" t="s">
        <v>178</v>
      </c>
      <c r="D152" s="8" t="s">
        <v>13</v>
      </c>
      <c r="E152" s="10">
        <v>308.95</v>
      </c>
      <c r="F152" s="8">
        <v>5</v>
      </c>
      <c r="G152" s="8">
        <v>5</v>
      </c>
      <c r="H152" s="8" t="s">
        <v>17</v>
      </c>
      <c r="I152" s="8" t="s">
        <v>18</v>
      </c>
      <c r="J152" s="8">
        <v>3.5</v>
      </c>
      <c r="K152" s="8">
        <v>100</v>
      </c>
      <c r="L152" s="10">
        <v>293.5</v>
      </c>
      <c r="M152" s="10">
        <v>1467.5</v>
      </c>
      <c r="O152" s="14" t="str">
        <f t="shared" si="4"/>
        <v>High</v>
      </c>
      <c r="P152" s="12" t="str">
        <f t="shared" si="5"/>
        <v>Good</v>
      </c>
    </row>
    <row r="153" spans="1:16" x14ac:dyDescent="0.35">
      <c r="A153" s="8">
        <v>152</v>
      </c>
      <c r="B153" s="9">
        <v>45102</v>
      </c>
      <c r="C153" s="8" t="s">
        <v>179</v>
      </c>
      <c r="D153" s="8" t="s">
        <v>22</v>
      </c>
      <c r="E153" s="10">
        <v>420.6</v>
      </c>
      <c r="F153" s="8">
        <v>15</v>
      </c>
      <c r="G153" s="8">
        <v>1</v>
      </c>
      <c r="H153" s="8" t="s">
        <v>21</v>
      </c>
      <c r="I153" s="8" t="s">
        <v>26</v>
      </c>
      <c r="J153" s="8">
        <v>3.5</v>
      </c>
      <c r="K153" s="8">
        <v>263</v>
      </c>
      <c r="L153" s="10">
        <v>357.51</v>
      </c>
      <c r="M153" s="10">
        <v>357.51</v>
      </c>
      <c r="O153" s="14" t="str">
        <f t="shared" si="4"/>
        <v>Low</v>
      </c>
      <c r="P153" s="12" t="str">
        <f t="shared" si="5"/>
        <v>Good</v>
      </c>
    </row>
    <row r="154" spans="1:16" x14ac:dyDescent="0.35">
      <c r="A154" s="8">
        <v>153</v>
      </c>
      <c r="B154" s="9">
        <v>44597</v>
      </c>
      <c r="C154" s="8" t="s">
        <v>180</v>
      </c>
      <c r="D154" s="8" t="s">
        <v>22</v>
      </c>
      <c r="E154" s="10">
        <v>286.95</v>
      </c>
      <c r="F154" s="8">
        <v>5</v>
      </c>
      <c r="G154" s="8">
        <v>2</v>
      </c>
      <c r="H154" s="8" t="s">
        <v>21</v>
      </c>
      <c r="I154" s="8" t="s">
        <v>15</v>
      </c>
      <c r="J154" s="8">
        <v>3.7</v>
      </c>
      <c r="K154" s="8">
        <v>217</v>
      </c>
      <c r="L154" s="10">
        <v>272.60000000000002</v>
      </c>
      <c r="M154" s="10">
        <v>545.20000000000005</v>
      </c>
      <c r="O154" s="14" t="str">
        <f t="shared" si="4"/>
        <v>Low</v>
      </c>
      <c r="P154" s="12" t="str">
        <f t="shared" si="5"/>
        <v>Good</v>
      </c>
    </row>
    <row r="155" spans="1:16" x14ac:dyDescent="0.35">
      <c r="A155" s="8">
        <v>154</v>
      </c>
      <c r="B155" s="9">
        <v>45086</v>
      </c>
      <c r="C155" s="8" t="s">
        <v>181</v>
      </c>
      <c r="D155" s="8" t="s">
        <v>22</v>
      </c>
      <c r="E155" s="10">
        <v>300.42</v>
      </c>
      <c r="F155" s="8">
        <v>15</v>
      </c>
      <c r="G155" s="8">
        <v>5</v>
      </c>
      <c r="H155" s="8" t="s">
        <v>17</v>
      </c>
      <c r="I155" s="8" t="s">
        <v>26</v>
      </c>
      <c r="J155" s="8">
        <v>2.6</v>
      </c>
      <c r="K155" s="8">
        <v>7</v>
      </c>
      <c r="L155" s="10">
        <v>255.36</v>
      </c>
      <c r="M155" s="10">
        <v>1276.8</v>
      </c>
      <c r="O155" s="14" t="str">
        <f t="shared" si="4"/>
        <v>High</v>
      </c>
      <c r="P155" s="12" t="str">
        <f t="shared" si="5"/>
        <v>Poor</v>
      </c>
    </row>
    <row r="156" spans="1:16" x14ac:dyDescent="0.35">
      <c r="A156" s="8">
        <v>155</v>
      </c>
      <c r="B156" s="9">
        <v>44721</v>
      </c>
      <c r="C156" s="8" t="s">
        <v>182</v>
      </c>
      <c r="D156" s="8" t="s">
        <v>25</v>
      </c>
      <c r="E156" s="10">
        <v>338.29</v>
      </c>
      <c r="F156" s="8">
        <v>20</v>
      </c>
      <c r="G156" s="8">
        <v>5</v>
      </c>
      <c r="H156" s="8" t="s">
        <v>20</v>
      </c>
      <c r="I156" s="8" t="s">
        <v>18</v>
      </c>
      <c r="J156" s="8">
        <v>2</v>
      </c>
      <c r="K156" s="8">
        <v>291</v>
      </c>
      <c r="L156" s="10">
        <v>270.63</v>
      </c>
      <c r="M156" s="10">
        <v>1353.15</v>
      </c>
      <c r="O156" s="14" t="str">
        <f t="shared" si="4"/>
        <v>High</v>
      </c>
      <c r="P156" s="12" t="str">
        <f t="shared" si="5"/>
        <v>Poor</v>
      </c>
    </row>
    <row r="157" spans="1:16" x14ac:dyDescent="0.35">
      <c r="A157" s="8">
        <v>156</v>
      </c>
      <c r="B157" s="9">
        <v>45260</v>
      </c>
      <c r="C157" s="8" t="s">
        <v>183</v>
      </c>
      <c r="D157" s="8" t="s">
        <v>19</v>
      </c>
      <c r="E157" s="10">
        <v>102.19</v>
      </c>
      <c r="F157" s="8">
        <v>15</v>
      </c>
      <c r="G157" s="8">
        <v>5</v>
      </c>
      <c r="H157" s="8" t="s">
        <v>14</v>
      </c>
      <c r="I157" s="8" t="s">
        <v>18</v>
      </c>
      <c r="J157" s="8">
        <v>1.9</v>
      </c>
      <c r="K157" s="8">
        <v>435</v>
      </c>
      <c r="L157" s="10">
        <v>86.86</v>
      </c>
      <c r="M157" s="10">
        <v>434.3</v>
      </c>
      <c r="O157" s="14" t="str">
        <f t="shared" si="4"/>
        <v>Low</v>
      </c>
      <c r="P157" s="12" t="str">
        <f t="shared" si="5"/>
        <v>Poor</v>
      </c>
    </row>
    <row r="158" spans="1:16" x14ac:dyDescent="0.35">
      <c r="A158" s="8">
        <v>157</v>
      </c>
      <c r="B158" s="9">
        <v>44804</v>
      </c>
      <c r="C158" s="8" t="s">
        <v>184</v>
      </c>
      <c r="D158" s="8" t="s">
        <v>27</v>
      </c>
      <c r="E158" s="10">
        <v>39.049999999999997</v>
      </c>
      <c r="F158" s="8">
        <v>30</v>
      </c>
      <c r="G158" s="8">
        <v>4</v>
      </c>
      <c r="H158" s="8" t="s">
        <v>17</v>
      </c>
      <c r="I158" s="8" t="s">
        <v>18</v>
      </c>
      <c r="J158" s="8">
        <v>1.4</v>
      </c>
      <c r="K158" s="8">
        <v>374</v>
      </c>
      <c r="L158" s="10">
        <v>27.33</v>
      </c>
      <c r="M158" s="10">
        <v>109.32</v>
      </c>
      <c r="O158" s="14" t="str">
        <f t="shared" si="4"/>
        <v>Low</v>
      </c>
      <c r="P158" s="12" t="str">
        <f t="shared" si="5"/>
        <v>Poor</v>
      </c>
    </row>
    <row r="159" spans="1:16" x14ac:dyDescent="0.35">
      <c r="A159" s="8">
        <v>158</v>
      </c>
      <c r="B159" s="9">
        <v>44647</v>
      </c>
      <c r="C159" s="8" t="s">
        <v>185</v>
      </c>
      <c r="D159" s="8" t="s">
        <v>19</v>
      </c>
      <c r="E159" s="10">
        <v>427.73</v>
      </c>
      <c r="F159" s="8">
        <v>30</v>
      </c>
      <c r="G159" s="8">
        <v>3</v>
      </c>
      <c r="H159" s="8" t="s">
        <v>20</v>
      </c>
      <c r="I159" s="8" t="s">
        <v>24</v>
      </c>
      <c r="J159" s="8">
        <v>3.2</v>
      </c>
      <c r="K159" s="8">
        <v>459</v>
      </c>
      <c r="L159" s="10">
        <v>299.41000000000003</v>
      </c>
      <c r="M159" s="10">
        <v>898.23</v>
      </c>
      <c r="O159" s="14" t="str">
        <f t="shared" si="4"/>
        <v>Low</v>
      </c>
      <c r="P159" s="12" t="str">
        <f t="shared" si="5"/>
        <v>Good</v>
      </c>
    </row>
    <row r="160" spans="1:16" x14ac:dyDescent="0.35">
      <c r="A160" s="8">
        <v>159</v>
      </c>
      <c r="B160" s="9">
        <v>45139</v>
      </c>
      <c r="C160" s="8" t="s">
        <v>186</v>
      </c>
      <c r="D160" s="8" t="s">
        <v>13</v>
      </c>
      <c r="E160" s="10">
        <v>424.07</v>
      </c>
      <c r="F160" s="8">
        <v>0</v>
      </c>
      <c r="G160" s="8">
        <v>2</v>
      </c>
      <c r="H160" s="8" t="s">
        <v>14</v>
      </c>
      <c r="I160" s="8" t="s">
        <v>23</v>
      </c>
      <c r="J160" s="8">
        <v>3.8</v>
      </c>
      <c r="K160" s="8">
        <v>383</v>
      </c>
      <c r="L160" s="10">
        <v>424.07</v>
      </c>
      <c r="M160" s="10">
        <v>848.14</v>
      </c>
      <c r="O160" s="14" t="str">
        <f t="shared" si="4"/>
        <v>Low</v>
      </c>
      <c r="P160" s="12" t="str">
        <f t="shared" si="5"/>
        <v>Good</v>
      </c>
    </row>
    <row r="161" spans="1:16" x14ac:dyDescent="0.35">
      <c r="A161" s="8">
        <v>160</v>
      </c>
      <c r="B161" s="9">
        <v>45243</v>
      </c>
      <c r="C161" s="8" t="s">
        <v>187</v>
      </c>
      <c r="D161" s="8" t="s">
        <v>19</v>
      </c>
      <c r="E161" s="10">
        <v>274.60000000000002</v>
      </c>
      <c r="F161" s="8">
        <v>15</v>
      </c>
      <c r="G161" s="8">
        <v>2</v>
      </c>
      <c r="H161" s="8" t="s">
        <v>20</v>
      </c>
      <c r="I161" s="8" t="s">
        <v>15</v>
      </c>
      <c r="J161" s="8">
        <v>1.1000000000000001</v>
      </c>
      <c r="K161" s="8">
        <v>317</v>
      </c>
      <c r="L161" s="10">
        <v>233.41</v>
      </c>
      <c r="M161" s="10">
        <v>466.82</v>
      </c>
      <c r="O161" s="14" t="str">
        <f t="shared" si="4"/>
        <v>Low</v>
      </c>
      <c r="P161" s="12" t="str">
        <f t="shared" si="5"/>
        <v>Poor</v>
      </c>
    </row>
    <row r="162" spans="1:16" x14ac:dyDescent="0.35">
      <c r="A162" s="8">
        <v>161</v>
      </c>
      <c r="B162" s="9">
        <v>45118</v>
      </c>
      <c r="C162" s="8" t="s">
        <v>188</v>
      </c>
      <c r="D162" s="8" t="s">
        <v>16</v>
      </c>
      <c r="E162" s="10">
        <v>102.55</v>
      </c>
      <c r="F162" s="8">
        <v>10</v>
      </c>
      <c r="G162" s="8">
        <v>4</v>
      </c>
      <c r="H162" s="8" t="s">
        <v>21</v>
      </c>
      <c r="I162" s="8" t="s">
        <v>15</v>
      </c>
      <c r="J162" s="8">
        <v>3.2</v>
      </c>
      <c r="K162" s="8">
        <v>148</v>
      </c>
      <c r="L162" s="10">
        <v>92.3</v>
      </c>
      <c r="M162" s="10">
        <v>369.2</v>
      </c>
      <c r="O162" s="14" t="str">
        <f t="shared" si="4"/>
        <v>Low</v>
      </c>
      <c r="P162" s="12" t="str">
        <f t="shared" si="5"/>
        <v>Good</v>
      </c>
    </row>
    <row r="163" spans="1:16" x14ac:dyDescent="0.35">
      <c r="A163" s="8">
        <v>162</v>
      </c>
      <c r="B163" s="9">
        <v>45135</v>
      </c>
      <c r="C163" s="8" t="s">
        <v>189</v>
      </c>
      <c r="D163" s="8" t="s">
        <v>27</v>
      </c>
      <c r="E163" s="10">
        <v>409.54</v>
      </c>
      <c r="F163" s="8">
        <v>5</v>
      </c>
      <c r="G163" s="8">
        <v>2</v>
      </c>
      <c r="H163" s="8" t="s">
        <v>21</v>
      </c>
      <c r="I163" s="8" t="s">
        <v>26</v>
      </c>
      <c r="J163" s="8">
        <v>3.2</v>
      </c>
      <c r="K163" s="8">
        <v>294</v>
      </c>
      <c r="L163" s="10">
        <v>389.06</v>
      </c>
      <c r="M163" s="10">
        <v>778.12</v>
      </c>
      <c r="O163" s="14" t="str">
        <f t="shared" si="4"/>
        <v>Low</v>
      </c>
      <c r="P163" s="12" t="str">
        <f t="shared" si="5"/>
        <v>Good</v>
      </c>
    </row>
    <row r="164" spans="1:16" x14ac:dyDescent="0.35">
      <c r="A164" s="8">
        <v>163</v>
      </c>
      <c r="B164" s="9">
        <v>45207</v>
      </c>
      <c r="C164" s="8" t="s">
        <v>190</v>
      </c>
      <c r="D164" s="8" t="s">
        <v>19</v>
      </c>
      <c r="E164" s="10">
        <v>114.02</v>
      </c>
      <c r="F164" s="8">
        <v>15</v>
      </c>
      <c r="G164" s="8">
        <v>3</v>
      </c>
      <c r="H164" s="8" t="s">
        <v>20</v>
      </c>
      <c r="I164" s="8" t="s">
        <v>26</v>
      </c>
      <c r="J164" s="8">
        <v>1.9</v>
      </c>
      <c r="K164" s="8">
        <v>493</v>
      </c>
      <c r="L164" s="10">
        <v>96.92</v>
      </c>
      <c r="M164" s="10">
        <v>290.76</v>
      </c>
      <c r="O164" s="14" t="str">
        <f t="shared" si="4"/>
        <v>Low</v>
      </c>
      <c r="P164" s="12" t="str">
        <f t="shared" si="5"/>
        <v>Poor</v>
      </c>
    </row>
    <row r="165" spans="1:16" x14ac:dyDescent="0.35">
      <c r="A165" s="8">
        <v>164</v>
      </c>
      <c r="B165" s="9">
        <v>44589</v>
      </c>
      <c r="C165" s="8" t="s">
        <v>191</v>
      </c>
      <c r="D165" s="8" t="s">
        <v>27</v>
      </c>
      <c r="E165" s="10">
        <v>431.15</v>
      </c>
      <c r="F165" s="8">
        <v>5</v>
      </c>
      <c r="G165" s="8">
        <v>1</v>
      </c>
      <c r="H165" s="8" t="s">
        <v>21</v>
      </c>
      <c r="I165" s="8" t="s">
        <v>18</v>
      </c>
      <c r="J165" s="8">
        <v>3.3</v>
      </c>
      <c r="K165" s="8">
        <v>267</v>
      </c>
      <c r="L165" s="10">
        <v>409.59</v>
      </c>
      <c r="M165" s="10">
        <v>409.59</v>
      </c>
      <c r="O165" s="14" t="str">
        <f t="shared" si="4"/>
        <v>Low</v>
      </c>
      <c r="P165" s="12" t="str">
        <f t="shared" si="5"/>
        <v>Good</v>
      </c>
    </row>
    <row r="166" spans="1:16" x14ac:dyDescent="0.35">
      <c r="A166" s="8">
        <v>165</v>
      </c>
      <c r="B166" s="9">
        <v>45181</v>
      </c>
      <c r="C166" s="8" t="s">
        <v>192</v>
      </c>
      <c r="D166" s="8" t="s">
        <v>19</v>
      </c>
      <c r="E166" s="10">
        <v>214.77</v>
      </c>
      <c r="F166" s="8">
        <v>0</v>
      </c>
      <c r="G166" s="8">
        <v>2</v>
      </c>
      <c r="H166" s="8" t="s">
        <v>17</v>
      </c>
      <c r="I166" s="8" t="s">
        <v>24</v>
      </c>
      <c r="J166" s="8">
        <v>3.7</v>
      </c>
      <c r="K166" s="8">
        <v>135</v>
      </c>
      <c r="L166" s="10">
        <v>214.77</v>
      </c>
      <c r="M166" s="10">
        <v>429.54</v>
      </c>
      <c r="O166" s="14" t="str">
        <f t="shared" si="4"/>
        <v>Low</v>
      </c>
      <c r="P166" s="12" t="str">
        <f t="shared" si="5"/>
        <v>Good</v>
      </c>
    </row>
    <row r="167" spans="1:16" x14ac:dyDescent="0.35">
      <c r="A167" s="8">
        <v>166</v>
      </c>
      <c r="B167" s="9">
        <v>45117</v>
      </c>
      <c r="C167" s="8" t="s">
        <v>193</v>
      </c>
      <c r="D167" s="8" t="s">
        <v>25</v>
      </c>
      <c r="E167" s="10">
        <v>33.46</v>
      </c>
      <c r="F167" s="8">
        <v>30</v>
      </c>
      <c r="G167" s="8">
        <v>4</v>
      </c>
      <c r="H167" s="8" t="s">
        <v>20</v>
      </c>
      <c r="I167" s="8" t="s">
        <v>15</v>
      </c>
      <c r="J167" s="8">
        <v>4.7</v>
      </c>
      <c r="K167" s="8">
        <v>8</v>
      </c>
      <c r="L167" s="10">
        <v>23.42</v>
      </c>
      <c r="M167" s="10">
        <v>93.68</v>
      </c>
      <c r="O167" s="14" t="str">
        <f t="shared" si="4"/>
        <v>Low</v>
      </c>
      <c r="P167" s="12" t="str">
        <f t="shared" si="5"/>
        <v>Excellent</v>
      </c>
    </row>
    <row r="168" spans="1:16" x14ac:dyDescent="0.35">
      <c r="A168" s="8">
        <v>167</v>
      </c>
      <c r="B168" s="9">
        <v>44901</v>
      </c>
      <c r="C168" s="8" t="s">
        <v>194</v>
      </c>
      <c r="D168" s="8" t="s">
        <v>13</v>
      </c>
      <c r="E168" s="10">
        <v>409.35</v>
      </c>
      <c r="F168" s="8">
        <v>0</v>
      </c>
      <c r="G168" s="8">
        <v>4</v>
      </c>
      <c r="H168" s="8" t="s">
        <v>21</v>
      </c>
      <c r="I168" s="8" t="s">
        <v>24</v>
      </c>
      <c r="J168" s="8">
        <v>2.2999999999999998</v>
      </c>
      <c r="K168" s="8">
        <v>62</v>
      </c>
      <c r="L168" s="10">
        <v>409.35</v>
      </c>
      <c r="M168" s="10">
        <v>1637.4</v>
      </c>
      <c r="O168" s="14" t="str">
        <f t="shared" si="4"/>
        <v>High</v>
      </c>
      <c r="P168" s="12" t="str">
        <f t="shared" si="5"/>
        <v>Poor</v>
      </c>
    </row>
    <row r="169" spans="1:16" x14ac:dyDescent="0.35">
      <c r="A169" s="8">
        <v>168</v>
      </c>
      <c r="B169" s="9">
        <v>44892</v>
      </c>
      <c r="C169" s="8" t="s">
        <v>195</v>
      </c>
      <c r="D169" s="8" t="s">
        <v>13</v>
      </c>
      <c r="E169" s="10">
        <v>282.51</v>
      </c>
      <c r="F169" s="8">
        <v>0</v>
      </c>
      <c r="G169" s="8">
        <v>5</v>
      </c>
      <c r="H169" s="8" t="s">
        <v>20</v>
      </c>
      <c r="I169" s="8" t="s">
        <v>15</v>
      </c>
      <c r="J169" s="8">
        <v>2.2999999999999998</v>
      </c>
      <c r="K169" s="8">
        <v>412</v>
      </c>
      <c r="L169" s="10">
        <v>282.51</v>
      </c>
      <c r="M169" s="10">
        <v>1412.55</v>
      </c>
      <c r="O169" s="14" t="str">
        <f t="shared" si="4"/>
        <v>High</v>
      </c>
      <c r="P169" s="12" t="str">
        <f t="shared" si="5"/>
        <v>Poor</v>
      </c>
    </row>
    <row r="170" spans="1:16" x14ac:dyDescent="0.35">
      <c r="A170" s="8">
        <v>169</v>
      </c>
      <c r="B170" s="9">
        <v>45201</v>
      </c>
      <c r="C170" s="8" t="s">
        <v>196</v>
      </c>
      <c r="D170" s="8" t="s">
        <v>16</v>
      </c>
      <c r="E170" s="10">
        <v>162.59</v>
      </c>
      <c r="F170" s="8">
        <v>15</v>
      </c>
      <c r="G170" s="8">
        <v>2</v>
      </c>
      <c r="H170" s="8" t="s">
        <v>14</v>
      </c>
      <c r="I170" s="8" t="s">
        <v>18</v>
      </c>
      <c r="J170" s="8">
        <v>3</v>
      </c>
      <c r="K170" s="8">
        <v>252</v>
      </c>
      <c r="L170" s="10">
        <v>138.19999999999999</v>
      </c>
      <c r="M170" s="10">
        <v>276.39999999999998</v>
      </c>
      <c r="O170" s="14" t="str">
        <f t="shared" si="4"/>
        <v>Low</v>
      </c>
      <c r="P170" s="12" t="str">
        <f t="shared" si="5"/>
        <v>Good</v>
      </c>
    </row>
    <row r="171" spans="1:16" x14ac:dyDescent="0.35">
      <c r="A171" s="8">
        <v>170</v>
      </c>
      <c r="B171" s="9">
        <v>45067</v>
      </c>
      <c r="C171" s="8" t="s">
        <v>197</v>
      </c>
      <c r="D171" s="8" t="s">
        <v>25</v>
      </c>
      <c r="E171" s="10">
        <v>229.2</v>
      </c>
      <c r="F171" s="8">
        <v>10</v>
      </c>
      <c r="G171" s="8">
        <v>1</v>
      </c>
      <c r="H171" s="8" t="s">
        <v>20</v>
      </c>
      <c r="I171" s="8" t="s">
        <v>23</v>
      </c>
      <c r="J171" s="8">
        <v>2.5</v>
      </c>
      <c r="K171" s="8">
        <v>487</v>
      </c>
      <c r="L171" s="10">
        <v>206.28</v>
      </c>
      <c r="M171" s="10">
        <v>206.28</v>
      </c>
      <c r="O171" s="14" t="str">
        <f t="shared" si="4"/>
        <v>Low</v>
      </c>
      <c r="P171" s="12" t="str">
        <f t="shared" si="5"/>
        <v>Poor</v>
      </c>
    </row>
    <row r="172" spans="1:16" x14ac:dyDescent="0.35">
      <c r="A172" s="8">
        <v>171</v>
      </c>
      <c r="B172" s="9">
        <v>44909</v>
      </c>
      <c r="C172" s="8" t="s">
        <v>198</v>
      </c>
      <c r="D172" s="8" t="s">
        <v>19</v>
      </c>
      <c r="E172" s="10">
        <v>443.67</v>
      </c>
      <c r="F172" s="8">
        <v>0</v>
      </c>
      <c r="G172" s="8">
        <v>3</v>
      </c>
      <c r="H172" s="8" t="s">
        <v>14</v>
      </c>
      <c r="I172" s="8" t="s">
        <v>15</v>
      </c>
      <c r="J172" s="8">
        <v>1.4</v>
      </c>
      <c r="K172" s="8">
        <v>40</v>
      </c>
      <c r="L172" s="10">
        <v>443.67</v>
      </c>
      <c r="M172" s="10">
        <v>1331.01</v>
      </c>
      <c r="O172" s="14" t="str">
        <f t="shared" si="4"/>
        <v>High</v>
      </c>
      <c r="P172" s="12" t="str">
        <f t="shared" si="5"/>
        <v>Poor</v>
      </c>
    </row>
    <row r="173" spans="1:16" x14ac:dyDescent="0.35">
      <c r="A173" s="8">
        <v>172</v>
      </c>
      <c r="B173" s="9">
        <v>45034</v>
      </c>
      <c r="C173" s="8" t="s">
        <v>199</v>
      </c>
      <c r="D173" s="8" t="s">
        <v>19</v>
      </c>
      <c r="E173" s="10">
        <v>105.56</v>
      </c>
      <c r="F173" s="8">
        <v>10</v>
      </c>
      <c r="G173" s="8">
        <v>4</v>
      </c>
      <c r="H173" s="8" t="s">
        <v>21</v>
      </c>
      <c r="I173" s="8" t="s">
        <v>26</v>
      </c>
      <c r="J173" s="8">
        <v>2.7</v>
      </c>
      <c r="K173" s="8">
        <v>390</v>
      </c>
      <c r="L173" s="10">
        <v>95</v>
      </c>
      <c r="M173" s="10">
        <v>380</v>
      </c>
      <c r="O173" s="14" t="str">
        <f t="shared" si="4"/>
        <v>Low</v>
      </c>
      <c r="P173" s="12" t="str">
        <f t="shared" si="5"/>
        <v>Poor</v>
      </c>
    </row>
    <row r="174" spans="1:16" x14ac:dyDescent="0.35">
      <c r="A174" s="8">
        <v>173</v>
      </c>
      <c r="B174" s="9">
        <v>44792</v>
      </c>
      <c r="C174" s="8" t="s">
        <v>200</v>
      </c>
      <c r="D174" s="8" t="s">
        <v>19</v>
      </c>
      <c r="E174" s="10">
        <v>56.38</v>
      </c>
      <c r="F174" s="8">
        <v>30</v>
      </c>
      <c r="G174" s="8">
        <v>2</v>
      </c>
      <c r="H174" s="8" t="s">
        <v>14</v>
      </c>
      <c r="I174" s="8" t="s">
        <v>24</v>
      </c>
      <c r="J174" s="8">
        <v>3.5</v>
      </c>
      <c r="K174" s="8">
        <v>460</v>
      </c>
      <c r="L174" s="10">
        <v>39.47</v>
      </c>
      <c r="M174" s="10">
        <v>78.94</v>
      </c>
      <c r="O174" s="14" t="str">
        <f t="shared" si="4"/>
        <v>Low</v>
      </c>
      <c r="P174" s="12" t="str">
        <f t="shared" si="5"/>
        <v>Good</v>
      </c>
    </row>
    <row r="175" spans="1:16" x14ac:dyDescent="0.35">
      <c r="A175" s="8">
        <v>174</v>
      </c>
      <c r="B175" s="9">
        <v>44751</v>
      </c>
      <c r="C175" s="8" t="s">
        <v>201</v>
      </c>
      <c r="D175" s="8" t="s">
        <v>19</v>
      </c>
      <c r="E175" s="10">
        <v>393.47</v>
      </c>
      <c r="F175" s="8">
        <v>30</v>
      </c>
      <c r="G175" s="8">
        <v>4</v>
      </c>
      <c r="H175" s="8" t="s">
        <v>17</v>
      </c>
      <c r="I175" s="8" t="s">
        <v>15</v>
      </c>
      <c r="J175" s="8">
        <v>2.4</v>
      </c>
      <c r="K175" s="8">
        <v>155</v>
      </c>
      <c r="L175" s="10">
        <v>275.43</v>
      </c>
      <c r="M175" s="10">
        <v>1101.72</v>
      </c>
      <c r="O175" s="14" t="str">
        <f t="shared" si="4"/>
        <v>High</v>
      </c>
      <c r="P175" s="12" t="str">
        <f t="shared" si="5"/>
        <v>Poor</v>
      </c>
    </row>
    <row r="176" spans="1:16" x14ac:dyDescent="0.35">
      <c r="A176" s="8">
        <v>175</v>
      </c>
      <c r="B176" s="9">
        <v>44786</v>
      </c>
      <c r="C176" s="8" t="s">
        <v>202</v>
      </c>
      <c r="D176" s="8" t="s">
        <v>27</v>
      </c>
      <c r="E176" s="10">
        <v>312.73</v>
      </c>
      <c r="F176" s="8">
        <v>10</v>
      </c>
      <c r="G176" s="8">
        <v>4</v>
      </c>
      <c r="H176" s="8" t="s">
        <v>14</v>
      </c>
      <c r="I176" s="8" t="s">
        <v>15</v>
      </c>
      <c r="J176" s="8">
        <v>2.2999999999999998</v>
      </c>
      <c r="K176" s="8">
        <v>92</v>
      </c>
      <c r="L176" s="10">
        <v>281.45999999999998</v>
      </c>
      <c r="M176" s="10">
        <v>1125.8399999999999</v>
      </c>
      <c r="O176" s="14" t="str">
        <f t="shared" si="4"/>
        <v>High</v>
      </c>
      <c r="P176" s="12" t="str">
        <f t="shared" si="5"/>
        <v>Poor</v>
      </c>
    </row>
    <row r="177" spans="1:16" x14ac:dyDescent="0.35">
      <c r="A177" s="8">
        <v>176</v>
      </c>
      <c r="B177" s="9">
        <v>44946</v>
      </c>
      <c r="C177" s="8" t="s">
        <v>203</v>
      </c>
      <c r="D177" s="8" t="s">
        <v>19</v>
      </c>
      <c r="E177" s="10">
        <v>435.63</v>
      </c>
      <c r="F177" s="8">
        <v>15</v>
      </c>
      <c r="G177" s="8">
        <v>3</v>
      </c>
      <c r="H177" s="8" t="s">
        <v>20</v>
      </c>
      <c r="I177" s="8" t="s">
        <v>23</v>
      </c>
      <c r="J177" s="8">
        <v>5</v>
      </c>
      <c r="K177" s="8">
        <v>50</v>
      </c>
      <c r="L177" s="10">
        <v>370.29</v>
      </c>
      <c r="M177" s="10">
        <v>1110.8699999999999</v>
      </c>
      <c r="O177" s="14" t="str">
        <f t="shared" si="4"/>
        <v>High</v>
      </c>
      <c r="P177" s="12" t="str">
        <f t="shared" si="5"/>
        <v>Excellent</v>
      </c>
    </row>
    <row r="178" spans="1:16" x14ac:dyDescent="0.35">
      <c r="A178" s="8">
        <v>177</v>
      </c>
      <c r="B178" s="9">
        <v>44938</v>
      </c>
      <c r="C178" s="8" t="s">
        <v>204</v>
      </c>
      <c r="D178" s="8" t="s">
        <v>13</v>
      </c>
      <c r="E178" s="10">
        <v>160.13999999999999</v>
      </c>
      <c r="F178" s="8">
        <v>0</v>
      </c>
      <c r="G178" s="8">
        <v>4</v>
      </c>
      <c r="H178" s="8" t="s">
        <v>21</v>
      </c>
      <c r="I178" s="8" t="s">
        <v>26</v>
      </c>
      <c r="J178" s="8">
        <v>4.5</v>
      </c>
      <c r="K178" s="8">
        <v>394</v>
      </c>
      <c r="L178" s="10">
        <v>160.13999999999999</v>
      </c>
      <c r="M178" s="10">
        <v>640.55999999999995</v>
      </c>
      <c r="O178" s="14" t="str">
        <f t="shared" si="4"/>
        <v>Low</v>
      </c>
      <c r="P178" s="12" t="str">
        <f t="shared" si="5"/>
        <v>Excellent</v>
      </c>
    </row>
    <row r="179" spans="1:16" x14ac:dyDescent="0.35">
      <c r="A179" s="8">
        <v>178</v>
      </c>
      <c r="B179" s="9">
        <v>44844</v>
      </c>
      <c r="C179" s="8" t="s">
        <v>205</v>
      </c>
      <c r="D179" s="8" t="s">
        <v>25</v>
      </c>
      <c r="E179" s="10">
        <v>282.82</v>
      </c>
      <c r="F179" s="8">
        <v>0</v>
      </c>
      <c r="G179" s="8">
        <v>2</v>
      </c>
      <c r="H179" s="8" t="s">
        <v>20</v>
      </c>
      <c r="I179" s="8" t="s">
        <v>23</v>
      </c>
      <c r="J179" s="8">
        <v>3.8</v>
      </c>
      <c r="K179" s="8">
        <v>104</v>
      </c>
      <c r="L179" s="10">
        <v>282.82</v>
      </c>
      <c r="M179" s="10">
        <v>565.64</v>
      </c>
      <c r="O179" s="14" t="str">
        <f t="shared" si="4"/>
        <v>Low</v>
      </c>
      <c r="P179" s="12" t="str">
        <f t="shared" si="5"/>
        <v>Good</v>
      </c>
    </row>
    <row r="180" spans="1:16" x14ac:dyDescent="0.35">
      <c r="A180" s="8">
        <v>179</v>
      </c>
      <c r="B180" s="9">
        <v>45194</v>
      </c>
      <c r="C180" s="8" t="s">
        <v>206</v>
      </c>
      <c r="D180" s="8" t="s">
        <v>22</v>
      </c>
      <c r="E180" s="10">
        <v>26</v>
      </c>
      <c r="F180" s="8">
        <v>5</v>
      </c>
      <c r="G180" s="8">
        <v>4</v>
      </c>
      <c r="H180" s="8" t="s">
        <v>14</v>
      </c>
      <c r="I180" s="8" t="s">
        <v>26</v>
      </c>
      <c r="J180" s="8">
        <v>2.4</v>
      </c>
      <c r="K180" s="8">
        <v>342</v>
      </c>
      <c r="L180" s="10">
        <v>24.7</v>
      </c>
      <c r="M180" s="10">
        <v>98.8</v>
      </c>
      <c r="O180" s="14" t="str">
        <f t="shared" si="4"/>
        <v>Low</v>
      </c>
      <c r="P180" s="12" t="str">
        <f t="shared" si="5"/>
        <v>Poor</v>
      </c>
    </row>
    <row r="181" spans="1:16" x14ac:dyDescent="0.35">
      <c r="A181" s="8">
        <v>180</v>
      </c>
      <c r="B181" s="9">
        <v>45189</v>
      </c>
      <c r="C181" s="8" t="s">
        <v>207</v>
      </c>
      <c r="D181" s="8" t="s">
        <v>13</v>
      </c>
      <c r="E181" s="10">
        <v>424.11</v>
      </c>
      <c r="F181" s="8">
        <v>15</v>
      </c>
      <c r="G181" s="8">
        <v>2</v>
      </c>
      <c r="H181" s="8" t="s">
        <v>20</v>
      </c>
      <c r="I181" s="8" t="s">
        <v>18</v>
      </c>
      <c r="J181" s="8">
        <v>2.8</v>
      </c>
      <c r="K181" s="8">
        <v>443</v>
      </c>
      <c r="L181" s="10">
        <v>360.49</v>
      </c>
      <c r="M181" s="10">
        <v>720.98</v>
      </c>
      <c r="O181" s="14" t="str">
        <f t="shared" si="4"/>
        <v>Low</v>
      </c>
      <c r="P181" s="12" t="str">
        <f t="shared" si="5"/>
        <v>Poor</v>
      </c>
    </row>
    <row r="182" spans="1:16" x14ac:dyDescent="0.35">
      <c r="A182" s="8">
        <v>181</v>
      </c>
      <c r="B182" s="9">
        <v>44820</v>
      </c>
      <c r="C182" s="8" t="s">
        <v>208</v>
      </c>
      <c r="D182" s="8" t="s">
        <v>19</v>
      </c>
      <c r="E182" s="10">
        <v>99.64</v>
      </c>
      <c r="F182" s="8">
        <v>30</v>
      </c>
      <c r="G182" s="8">
        <v>2</v>
      </c>
      <c r="H182" s="8" t="s">
        <v>14</v>
      </c>
      <c r="I182" s="8" t="s">
        <v>24</v>
      </c>
      <c r="J182" s="8">
        <v>4.8</v>
      </c>
      <c r="K182" s="8">
        <v>362</v>
      </c>
      <c r="L182" s="10">
        <v>69.75</v>
      </c>
      <c r="M182" s="10">
        <v>139.5</v>
      </c>
      <c r="O182" s="14" t="str">
        <f t="shared" si="4"/>
        <v>Low</v>
      </c>
      <c r="P182" s="12" t="str">
        <f t="shared" si="5"/>
        <v>Excellent</v>
      </c>
    </row>
    <row r="183" spans="1:16" x14ac:dyDescent="0.35">
      <c r="A183" s="8">
        <v>182</v>
      </c>
      <c r="B183" s="9">
        <v>44920</v>
      </c>
      <c r="C183" s="8" t="s">
        <v>209</v>
      </c>
      <c r="D183" s="8" t="s">
        <v>27</v>
      </c>
      <c r="E183" s="10">
        <v>61.74</v>
      </c>
      <c r="F183" s="8">
        <v>10</v>
      </c>
      <c r="G183" s="8">
        <v>4</v>
      </c>
      <c r="H183" s="8" t="s">
        <v>14</v>
      </c>
      <c r="I183" s="8" t="s">
        <v>26</v>
      </c>
      <c r="J183" s="8">
        <v>3.4</v>
      </c>
      <c r="K183" s="8">
        <v>64</v>
      </c>
      <c r="L183" s="10">
        <v>55.57</v>
      </c>
      <c r="M183" s="10">
        <v>222.28</v>
      </c>
      <c r="O183" s="14" t="str">
        <f t="shared" si="4"/>
        <v>Low</v>
      </c>
      <c r="P183" s="12" t="str">
        <f t="shared" si="5"/>
        <v>Good</v>
      </c>
    </row>
    <row r="184" spans="1:16" x14ac:dyDescent="0.35">
      <c r="A184" s="8">
        <v>183</v>
      </c>
      <c r="B184" s="9">
        <v>45271</v>
      </c>
      <c r="C184" s="8" t="s">
        <v>210</v>
      </c>
      <c r="D184" s="8" t="s">
        <v>22</v>
      </c>
      <c r="E184" s="10">
        <v>244.85</v>
      </c>
      <c r="F184" s="8">
        <v>30</v>
      </c>
      <c r="G184" s="8">
        <v>4</v>
      </c>
      <c r="H184" s="8" t="s">
        <v>21</v>
      </c>
      <c r="I184" s="8" t="s">
        <v>26</v>
      </c>
      <c r="J184" s="8">
        <v>1.8</v>
      </c>
      <c r="K184" s="8">
        <v>259</v>
      </c>
      <c r="L184" s="10">
        <v>171.4</v>
      </c>
      <c r="M184" s="10">
        <v>685.6</v>
      </c>
      <c r="O184" s="14" t="str">
        <f t="shared" si="4"/>
        <v>Low</v>
      </c>
      <c r="P184" s="12" t="str">
        <f t="shared" si="5"/>
        <v>Poor</v>
      </c>
    </row>
    <row r="185" spans="1:16" x14ac:dyDescent="0.35">
      <c r="A185" s="8">
        <v>184</v>
      </c>
      <c r="B185" s="9">
        <v>45017</v>
      </c>
      <c r="C185" s="8" t="s">
        <v>211</v>
      </c>
      <c r="D185" s="8" t="s">
        <v>22</v>
      </c>
      <c r="E185" s="10">
        <v>373.73</v>
      </c>
      <c r="F185" s="8">
        <v>0</v>
      </c>
      <c r="G185" s="8">
        <v>4</v>
      </c>
      <c r="H185" s="8" t="s">
        <v>21</v>
      </c>
      <c r="I185" s="8" t="s">
        <v>18</v>
      </c>
      <c r="J185" s="8">
        <v>3.5</v>
      </c>
      <c r="K185" s="8">
        <v>411</v>
      </c>
      <c r="L185" s="10">
        <v>373.73</v>
      </c>
      <c r="M185" s="10">
        <v>1494.92</v>
      </c>
      <c r="O185" s="14" t="str">
        <f t="shared" si="4"/>
        <v>High</v>
      </c>
      <c r="P185" s="12" t="str">
        <f t="shared" si="5"/>
        <v>Good</v>
      </c>
    </row>
    <row r="186" spans="1:16" x14ac:dyDescent="0.35">
      <c r="A186" s="8">
        <v>185</v>
      </c>
      <c r="B186" s="9">
        <v>44972</v>
      </c>
      <c r="C186" s="8" t="s">
        <v>212</v>
      </c>
      <c r="D186" s="8" t="s">
        <v>19</v>
      </c>
      <c r="E186" s="10">
        <v>108.83</v>
      </c>
      <c r="F186" s="8">
        <v>15</v>
      </c>
      <c r="G186" s="8">
        <v>4</v>
      </c>
      <c r="H186" s="8" t="s">
        <v>21</v>
      </c>
      <c r="I186" s="8" t="s">
        <v>24</v>
      </c>
      <c r="J186" s="8">
        <v>2.2999999999999998</v>
      </c>
      <c r="K186" s="8">
        <v>64</v>
      </c>
      <c r="L186" s="10">
        <v>92.51</v>
      </c>
      <c r="M186" s="10">
        <v>370.04</v>
      </c>
      <c r="O186" s="14" t="str">
        <f t="shared" si="4"/>
        <v>Low</v>
      </c>
      <c r="P186" s="12" t="str">
        <f t="shared" si="5"/>
        <v>Poor</v>
      </c>
    </row>
    <row r="187" spans="1:16" x14ac:dyDescent="0.35">
      <c r="A187" s="8">
        <v>186</v>
      </c>
      <c r="B187" s="9">
        <v>45210</v>
      </c>
      <c r="C187" s="8" t="s">
        <v>213</v>
      </c>
      <c r="D187" s="8" t="s">
        <v>22</v>
      </c>
      <c r="E187" s="10">
        <v>120.57</v>
      </c>
      <c r="F187" s="8">
        <v>5</v>
      </c>
      <c r="G187" s="8">
        <v>2</v>
      </c>
      <c r="H187" s="8" t="s">
        <v>17</v>
      </c>
      <c r="I187" s="8" t="s">
        <v>23</v>
      </c>
      <c r="J187" s="8">
        <v>1.1000000000000001</v>
      </c>
      <c r="K187" s="8">
        <v>465</v>
      </c>
      <c r="L187" s="10">
        <v>114.54</v>
      </c>
      <c r="M187" s="10">
        <v>229.08</v>
      </c>
      <c r="O187" s="14" t="str">
        <f t="shared" si="4"/>
        <v>Low</v>
      </c>
      <c r="P187" s="12" t="str">
        <f t="shared" si="5"/>
        <v>Poor</v>
      </c>
    </row>
    <row r="188" spans="1:16" x14ac:dyDescent="0.35">
      <c r="A188" s="8">
        <v>187</v>
      </c>
      <c r="B188" s="9">
        <v>44879</v>
      </c>
      <c r="C188" s="8" t="s">
        <v>214</v>
      </c>
      <c r="D188" s="8" t="s">
        <v>19</v>
      </c>
      <c r="E188" s="10">
        <v>161.22</v>
      </c>
      <c r="F188" s="8">
        <v>5</v>
      </c>
      <c r="G188" s="8">
        <v>2</v>
      </c>
      <c r="H188" s="8" t="s">
        <v>14</v>
      </c>
      <c r="I188" s="8" t="s">
        <v>18</v>
      </c>
      <c r="J188" s="8">
        <v>2.1</v>
      </c>
      <c r="K188" s="8">
        <v>46</v>
      </c>
      <c r="L188" s="10">
        <v>153.16</v>
      </c>
      <c r="M188" s="10">
        <v>306.32</v>
      </c>
      <c r="O188" s="14" t="str">
        <f t="shared" si="4"/>
        <v>Low</v>
      </c>
      <c r="P188" s="12" t="str">
        <f t="shared" si="5"/>
        <v>Poor</v>
      </c>
    </row>
    <row r="189" spans="1:16" x14ac:dyDescent="0.35">
      <c r="A189" s="8">
        <v>188</v>
      </c>
      <c r="B189" s="9">
        <v>45238</v>
      </c>
      <c r="C189" s="8" t="s">
        <v>215</v>
      </c>
      <c r="D189" s="8" t="s">
        <v>27</v>
      </c>
      <c r="E189" s="10">
        <v>406.49</v>
      </c>
      <c r="F189" s="8">
        <v>10</v>
      </c>
      <c r="G189" s="8">
        <v>1</v>
      </c>
      <c r="H189" s="8" t="s">
        <v>21</v>
      </c>
      <c r="I189" s="8" t="s">
        <v>26</v>
      </c>
      <c r="J189" s="8">
        <v>5</v>
      </c>
      <c r="K189" s="8">
        <v>299</v>
      </c>
      <c r="L189" s="10">
        <v>365.84</v>
      </c>
      <c r="M189" s="10">
        <v>365.84</v>
      </c>
      <c r="O189" s="14" t="str">
        <f t="shared" si="4"/>
        <v>Low</v>
      </c>
      <c r="P189" s="12" t="str">
        <f t="shared" si="5"/>
        <v>Excellent</v>
      </c>
    </row>
    <row r="190" spans="1:16" x14ac:dyDescent="0.35">
      <c r="A190" s="8">
        <v>189</v>
      </c>
      <c r="B190" s="9">
        <v>44786</v>
      </c>
      <c r="C190" s="8" t="s">
        <v>216</v>
      </c>
      <c r="D190" s="8" t="s">
        <v>25</v>
      </c>
      <c r="E190" s="10">
        <v>374.94</v>
      </c>
      <c r="F190" s="8">
        <v>10</v>
      </c>
      <c r="G190" s="8">
        <v>3</v>
      </c>
      <c r="H190" s="8" t="s">
        <v>21</v>
      </c>
      <c r="I190" s="8" t="s">
        <v>15</v>
      </c>
      <c r="J190" s="8">
        <v>1.5</v>
      </c>
      <c r="K190" s="8">
        <v>146</v>
      </c>
      <c r="L190" s="10">
        <v>337.45</v>
      </c>
      <c r="M190" s="10">
        <v>1012.35</v>
      </c>
      <c r="O190" s="14" t="str">
        <f t="shared" si="4"/>
        <v>High</v>
      </c>
      <c r="P190" s="12" t="str">
        <f t="shared" si="5"/>
        <v>Poor</v>
      </c>
    </row>
    <row r="191" spans="1:16" x14ac:dyDescent="0.35">
      <c r="A191" s="8">
        <v>190</v>
      </c>
      <c r="B191" s="9">
        <v>44795</v>
      </c>
      <c r="C191" s="8" t="s">
        <v>217</v>
      </c>
      <c r="D191" s="8" t="s">
        <v>13</v>
      </c>
      <c r="E191" s="10">
        <v>138.58000000000001</v>
      </c>
      <c r="F191" s="8">
        <v>0</v>
      </c>
      <c r="G191" s="8">
        <v>2</v>
      </c>
      <c r="H191" s="8" t="s">
        <v>14</v>
      </c>
      <c r="I191" s="8" t="s">
        <v>23</v>
      </c>
      <c r="J191" s="8">
        <v>1.5</v>
      </c>
      <c r="K191" s="8">
        <v>26</v>
      </c>
      <c r="L191" s="10">
        <v>138.58000000000001</v>
      </c>
      <c r="M191" s="10">
        <v>277.16000000000003</v>
      </c>
      <c r="O191" s="14" t="str">
        <f t="shared" si="4"/>
        <v>Low</v>
      </c>
      <c r="P191" s="12" t="str">
        <f t="shared" si="5"/>
        <v>Poor</v>
      </c>
    </row>
    <row r="192" spans="1:16" x14ac:dyDescent="0.35">
      <c r="A192" s="8">
        <v>191</v>
      </c>
      <c r="B192" s="9">
        <v>45245</v>
      </c>
      <c r="C192" s="8" t="s">
        <v>218</v>
      </c>
      <c r="D192" s="8" t="s">
        <v>25</v>
      </c>
      <c r="E192" s="10">
        <v>131.29</v>
      </c>
      <c r="F192" s="8">
        <v>0</v>
      </c>
      <c r="G192" s="8">
        <v>2</v>
      </c>
      <c r="H192" s="8" t="s">
        <v>20</v>
      </c>
      <c r="I192" s="8" t="s">
        <v>18</v>
      </c>
      <c r="J192" s="8">
        <v>3.7</v>
      </c>
      <c r="K192" s="8">
        <v>70</v>
      </c>
      <c r="L192" s="10">
        <v>131.29</v>
      </c>
      <c r="M192" s="10">
        <v>262.58</v>
      </c>
      <c r="O192" s="14" t="str">
        <f t="shared" si="4"/>
        <v>Low</v>
      </c>
      <c r="P192" s="12" t="str">
        <f t="shared" si="5"/>
        <v>Good</v>
      </c>
    </row>
    <row r="193" spans="1:16" x14ac:dyDescent="0.35">
      <c r="A193" s="8">
        <v>192</v>
      </c>
      <c r="B193" s="9">
        <v>45225</v>
      </c>
      <c r="C193" s="8" t="s">
        <v>219</v>
      </c>
      <c r="D193" s="8" t="s">
        <v>19</v>
      </c>
      <c r="E193" s="10">
        <v>453.69</v>
      </c>
      <c r="F193" s="8">
        <v>5</v>
      </c>
      <c r="G193" s="8">
        <v>4</v>
      </c>
      <c r="H193" s="8" t="s">
        <v>20</v>
      </c>
      <c r="I193" s="8" t="s">
        <v>15</v>
      </c>
      <c r="J193" s="8">
        <v>4.2</v>
      </c>
      <c r="K193" s="8">
        <v>163</v>
      </c>
      <c r="L193" s="10">
        <v>431.01</v>
      </c>
      <c r="M193" s="10">
        <v>1724.04</v>
      </c>
      <c r="O193" s="14" t="str">
        <f t="shared" si="4"/>
        <v>High</v>
      </c>
      <c r="P193" s="12" t="str">
        <f t="shared" si="5"/>
        <v>Good</v>
      </c>
    </row>
    <row r="194" spans="1:16" x14ac:dyDescent="0.35">
      <c r="A194" s="8">
        <v>193</v>
      </c>
      <c r="B194" s="9">
        <v>44935</v>
      </c>
      <c r="C194" s="8" t="s">
        <v>220</v>
      </c>
      <c r="D194" s="8" t="s">
        <v>27</v>
      </c>
      <c r="E194" s="10">
        <v>309.33</v>
      </c>
      <c r="F194" s="8">
        <v>0</v>
      </c>
      <c r="G194" s="8">
        <v>2</v>
      </c>
      <c r="H194" s="8" t="s">
        <v>21</v>
      </c>
      <c r="I194" s="8" t="s">
        <v>15</v>
      </c>
      <c r="J194" s="8">
        <v>3.7</v>
      </c>
      <c r="K194" s="8">
        <v>136</v>
      </c>
      <c r="L194" s="10">
        <v>309.33</v>
      </c>
      <c r="M194" s="10">
        <v>618.66</v>
      </c>
      <c r="O194" s="14" t="str">
        <f t="shared" si="4"/>
        <v>Low</v>
      </c>
      <c r="P194" s="12" t="str">
        <f t="shared" si="5"/>
        <v>Good</v>
      </c>
    </row>
    <row r="195" spans="1:16" x14ac:dyDescent="0.35">
      <c r="A195" s="8">
        <v>194</v>
      </c>
      <c r="B195" s="9">
        <v>45233</v>
      </c>
      <c r="C195" s="8" t="s">
        <v>221</v>
      </c>
      <c r="D195" s="8" t="s">
        <v>16</v>
      </c>
      <c r="E195" s="10">
        <v>116.37</v>
      </c>
      <c r="F195" s="8">
        <v>30</v>
      </c>
      <c r="G195" s="8">
        <v>4</v>
      </c>
      <c r="H195" s="8" t="s">
        <v>20</v>
      </c>
      <c r="I195" s="8" t="s">
        <v>18</v>
      </c>
      <c r="J195" s="8">
        <v>2.5</v>
      </c>
      <c r="K195" s="8">
        <v>140</v>
      </c>
      <c r="L195" s="10">
        <v>81.459999999999994</v>
      </c>
      <c r="M195" s="10">
        <v>325.83999999999997</v>
      </c>
      <c r="O195" s="14" t="str">
        <f t="shared" ref="O195:O258" si="6">IF(M195 &gt; 1000, "High", "Low")</f>
        <v>Low</v>
      </c>
      <c r="P195" s="12" t="str">
        <f t="shared" ref="P195:P258" si="7">IF(J195 &gt;= 4.5, "Excellent", IF(J195 &gt;= 3, "Good", "Poor"))</f>
        <v>Poor</v>
      </c>
    </row>
    <row r="196" spans="1:16" x14ac:dyDescent="0.35">
      <c r="A196" s="8">
        <v>195</v>
      </c>
      <c r="B196" s="9">
        <v>45169</v>
      </c>
      <c r="C196" s="8" t="s">
        <v>222</v>
      </c>
      <c r="D196" s="8" t="s">
        <v>19</v>
      </c>
      <c r="E196" s="10">
        <v>74.489999999999995</v>
      </c>
      <c r="F196" s="8">
        <v>15</v>
      </c>
      <c r="G196" s="8">
        <v>1</v>
      </c>
      <c r="H196" s="8" t="s">
        <v>14</v>
      </c>
      <c r="I196" s="8" t="s">
        <v>15</v>
      </c>
      <c r="J196" s="8">
        <v>4.3</v>
      </c>
      <c r="K196" s="8">
        <v>383</v>
      </c>
      <c r="L196" s="10">
        <v>63.32</v>
      </c>
      <c r="M196" s="10">
        <v>63.32</v>
      </c>
      <c r="O196" s="14" t="str">
        <f t="shared" si="6"/>
        <v>Low</v>
      </c>
      <c r="P196" s="12" t="str">
        <f t="shared" si="7"/>
        <v>Good</v>
      </c>
    </row>
    <row r="197" spans="1:16" x14ac:dyDescent="0.35">
      <c r="A197" s="8">
        <v>196</v>
      </c>
      <c r="B197" s="9">
        <v>45033</v>
      </c>
      <c r="C197" s="8" t="s">
        <v>223</v>
      </c>
      <c r="D197" s="8" t="s">
        <v>13</v>
      </c>
      <c r="E197" s="10">
        <v>37.75</v>
      </c>
      <c r="F197" s="8">
        <v>10</v>
      </c>
      <c r="G197" s="8">
        <v>4</v>
      </c>
      <c r="H197" s="8" t="s">
        <v>20</v>
      </c>
      <c r="I197" s="8" t="s">
        <v>15</v>
      </c>
      <c r="J197" s="8">
        <v>2.7</v>
      </c>
      <c r="K197" s="8">
        <v>303</v>
      </c>
      <c r="L197" s="10">
        <v>33.979999999999997</v>
      </c>
      <c r="M197" s="10">
        <v>135.91999999999999</v>
      </c>
      <c r="O197" s="14" t="str">
        <f t="shared" si="6"/>
        <v>Low</v>
      </c>
      <c r="P197" s="12" t="str">
        <f t="shared" si="7"/>
        <v>Poor</v>
      </c>
    </row>
    <row r="198" spans="1:16" x14ac:dyDescent="0.35">
      <c r="A198" s="8">
        <v>197</v>
      </c>
      <c r="B198" s="9">
        <v>44794</v>
      </c>
      <c r="C198" s="8" t="s">
        <v>224</v>
      </c>
      <c r="D198" s="8" t="s">
        <v>13</v>
      </c>
      <c r="E198" s="10">
        <v>126.94</v>
      </c>
      <c r="F198" s="8">
        <v>5</v>
      </c>
      <c r="G198" s="8">
        <v>5</v>
      </c>
      <c r="H198" s="8" t="s">
        <v>14</v>
      </c>
      <c r="I198" s="8" t="s">
        <v>24</v>
      </c>
      <c r="J198" s="8">
        <v>2.2000000000000002</v>
      </c>
      <c r="K198" s="8">
        <v>494</v>
      </c>
      <c r="L198" s="10">
        <v>120.59</v>
      </c>
      <c r="M198" s="10">
        <v>602.95000000000005</v>
      </c>
      <c r="O198" s="14" t="str">
        <f t="shared" si="6"/>
        <v>Low</v>
      </c>
      <c r="P198" s="12" t="str">
        <f t="shared" si="7"/>
        <v>Poor</v>
      </c>
    </row>
    <row r="199" spans="1:16" x14ac:dyDescent="0.35">
      <c r="A199" s="8">
        <v>198</v>
      </c>
      <c r="B199" s="9">
        <v>45253</v>
      </c>
      <c r="C199" s="8" t="s">
        <v>225</v>
      </c>
      <c r="D199" s="8" t="s">
        <v>19</v>
      </c>
      <c r="E199" s="10">
        <v>361.42</v>
      </c>
      <c r="F199" s="8">
        <v>0</v>
      </c>
      <c r="G199" s="8">
        <v>2</v>
      </c>
      <c r="H199" s="8" t="s">
        <v>21</v>
      </c>
      <c r="I199" s="8" t="s">
        <v>24</v>
      </c>
      <c r="J199" s="8">
        <v>1.2</v>
      </c>
      <c r="K199" s="8">
        <v>4</v>
      </c>
      <c r="L199" s="10">
        <v>361.42</v>
      </c>
      <c r="M199" s="10">
        <v>722.84</v>
      </c>
      <c r="O199" s="14" t="str">
        <f t="shared" si="6"/>
        <v>Low</v>
      </c>
      <c r="P199" s="12" t="str">
        <f t="shared" si="7"/>
        <v>Poor</v>
      </c>
    </row>
    <row r="200" spans="1:16" x14ac:dyDescent="0.35">
      <c r="A200" s="8">
        <v>199</v>
      </c>
      <c r="B200" s="9">
        <v>44674</v>
      </c>
      <c r="C200" s="8" t="s">
        <v>226</v>
      </c>
      <c r="D200" s="8" t="s">
        <v>16</v>
      </c>
      <c r="E200" s="10">
        <v>188.97</v>
      </c>
      <c r="F200" s="8">
        <v>30</v>
      </c>
      <c r="G200" s="8">
        <v>3</v>
      </c>
      <c r="H200" s="8" t="s">
        <v>17</v>
      </c>
      <c r="I200" s="8" t="s">
        <v>18</v>
      </c>
      <c r="J200" s="8">
        <v>2.1</v>
      </c>
      <c r="K200" s="8">
        <v>231</v>
      </c>
      <c r="L200" s="10">
        <v>132.28</v>
      </c>
      <c r="M200" s="10">
        <v>396.84</v>
      </c>
      <c r="O200" s="14" t="str">
        <f t="shared" si="6"/>
        <v>Low</v>
      </c>
      <c r="P200" s="12" t="str">
        <f t="shared" si="7"/>
        <v>Poor</v>
      </c>
    </row>
    <row r="201" spans="1:16" x14ac:dyDescent="0.35">
      <c r="A201" s="8">
        <v>200</v>
      </c>
      <c r="B201" s="9">
        <v>45058</v>
      </c>
      <c r="C201" s="8" t="s">
        <v>227</v>
      </c>
      <c r="D201" s="8" t="s">
        <v>22</v>
      </c>
      <c r="E201" s="10">
        <v>482.69</v>
      </c>
      <c r="F201" s="8">
        <v>15</v>
      </c>
      <c r="G201" s="8">
        <v>5</v>
      </c>
      <c r="H201" s="8" t="s">
        <v>20</v>
      </c>
      <c r="I201" s="8" t="s">
        <v>15</v>
      </c>
      <c r="J201" s="8">
        <v>4.4000000000000004</v>
      </c>
      <c r="K201" s="8">
        <v>125</v>
      </c>
      <c r="L201" s="10">
        <v>410.29</v>
      </c>
      <c r="M201" s="10">
        <v>2051.4499999999998</v>
      </c>
      <c r="O201" s="14" t="str">
        <f t="shared" si="6"/>
        <v>High</v>
      </c>
      <c r="P201" s="12" t="str">
        <f t="shared" si="7"/>
        <v>Good</v>
      </c>
    </row>
    <row r="202" spans="1:16" x14ac:dyDescent="0.35">
      <c r="A202" s="8">
        <v>201</v>
      </c>
      <c r="B202" s="9">
        <v>45003</v>
      </c>
      <c r="C202" s="8" t="s">
        <v>228</v>
      </c>
      <c r="D202" s="8" t="s">
        <v>13</v>
      </c>
      <c r="E202" s="10">
        <v>165.51</v>
      </c>
      <c r="F202" s="8">
        <v>0</v>
      </c>
      <c r="G202" s="8">
        <v>2</v>
      </c>
      <c r="H202" s="8" t="s">
        <v>21</v>
      </c>
      <c r="I202" s="8" t="s">
        <v>26</v>
      </c>
      <c r="J202" s="8">
        <v>1.8</v>
      </c>
      <c r="K202" s="8">
        <v>342</v>
      </c>
      <c r="L202" s="10">
        <v>165.51</v>
      </c>
      <c r="M202" s="10">
        <v>331.02</v>
      </c>
      <c r="O202" s="14" t="str">
        <f t="shared" si="6"/>
        <v>Low</v>
      </c>
      <c r="P202" s="12" t="str">
        <f t="shared" si="7"/>
        <v>Poor</v>
      </c>
    </row>
    <row r="203" spans="1:16" x14ac:dyDescent="0.35">
      <c r="A203" s="8">
        <v>202</v>
      </c>
      <c r="B203" s="9">
        <v>45125</v>
      </c>
      <c r="C203" s="8" t="s">
        <v>229</v>
      </c>
      <c r="D203" s="8" t="s">
        <v>13</v>
      </c>
      <c r="E203" s="10">
        <v>79.349999999999994</v>
      </c>
      <c r="F203" s="8">
        <v>20</v>
      </c>
      <c r="G203" s="8">
        <v>4</v>
      </c>
      <c r="H203" s="8" t="s">
        <v>21</v>
      </c>
      <c r="I203" s="8" t="s">
        <v>15</v>
      </c>
      <c r="J203" s="8">
        <v>1.4</v>
      </c>
      <c r="K203" s="8">
        <v>156</v>
      </c>
      <c r="L203" s="10">
        <v>63.48</v>
      </c>
      <c r="M203" s="10">
        <v>253.92</v>
      </c>
      <c r="O203" s="14" t="str">
        <f t="shared" si="6"/>
        <v>Low</v>
      </c>
      <c r="P203" s="12" t="str">
        <f t="shared" si="7"/>
        <v>Poor</v>
      </c>
    </row>
    <row r="204" spans="1:16" x14ac:dyDescent="0.35">
      <c r="A204" s="8">
        <v>203</v>
      </c>
      <c r="B204" s="9">
        <v>44829</v>
      </c>
      <c r="C204" s="8" t="s">
        <v>230</v>
      </c>
      <c r="D204" s="8" t="s">
        <v>19</v>
      </c>
      <c r="E204" s="10">
        <v>92.41</v>
      </c>
      <c r="F204" s="8">
        <v>10</v>
      </c>
      <c r="G204" s="8">
        <v>4</v>
      </c>
      <c r="H204" s="8" t="s">
        <v>21</v>
      </c>
      <c r="I204" s="8" t="s">
        <v>26</v>
      </c>
      <c r="J204" s="8">
        <v>3.9</v>
      </c>
      <c r="K204" s="8">
        <v>457</v>
      </c>
      <c r="L204" s="10">
        <v>83.17</v>
      </c>
      <c r="M204" s="10">
        <v>332.68</v>
      </c>
      <c r="O204" s="14" t="str">
        <f t="shared" si="6"/>
        <v>Low</v>
      </c>
      <c r="P204" s="12" t="str">
        <f t="shared" si="7"/>
        <v>Good</v>
      </c>
    </row>
    <row r="205" spans="1:16" x14ac:dyDescent="0.35">
      <c r="A205" s="8">
        <v>204</v>
      </c>
      <c r="B205" s="9">
        <v>45071</v>
      </c>
      <c r="C205" s="8" t="s">
        <v>231</v>
      </c>
      <c r="D205" s="8" t="s">
        <v>13</v>
      </c>
      <c r="E205" s="10">
        <v>246.78</v>
      </c>
      <c r="F205" s="8">
        <v>5</v>
      </c>
      <c r="G205" s="8">
        <v>4</v>
      </c>
      <c r="H205" s="8" t="s">
        <v>17</v>
      </c>
      <c r="I205" s="8" t="s">
        <v>24</v>
      </c>
      <c r="J205" s="8">
        <v>4.3</v>
      </c>
      <c r="K205" s="8">
        <v>355</v>
      </c>
      <c r="L205" s="10">
        <v>234.44</v>
      </c>
      <c r="M205" s="10">
        <v>937.76</v>
      </c>
      <c r="O205" s="14" t="str">
        <f t="shared" si="6"/>
        <v>Low</v>
      </c>
      <c r="P205" s="12" t="str">
        <f t="shared" si="7"/>
        <v>Good</v>
      </c>
    </row>
    <row r="206" spans="1:16" x14ac:dyDescent="0.35">
      <c r="A206" s="8">
        <v>205</v>
      </c>
      <c r="B206" s="9">
        <v>44947</v>
      </c>
      <c r="C206" s="8" t="s">
        <v>232</v>
      </c>
      <c r="D206" s="8" t="s">
        <v>27</v>
      </c>
      <c r="E206" s="10">
        <v>469.04</v>
      </c>
      <c r="F206" s="8">
        <v>5</v>
      </c>
      <c r="G206" s="8">
        <v>5</v>
      </c>
      <c r="H206" s="8" t="s">
        <v>14</v>
      </c>
      <c r="I206" s="8" t="s">
        <v>15</v>
      </c>
      <c r="J206" s="8">
        <v>1.8</v>
      </c>
      <c r="K206" s="8">
        <v>87</v>
      </c>
      <c r="L206" s="10">
        <v>445.59</v>
      </c>
      <c r="M206" s="10">
        <v>2227.9499999999998</v>
      </c>
      <c r="O206" s="14" t="str">
        <f t="shared" si="6"/>
        <v>High</v>
      </c>
      <c r="P206" s="12" t="str">
        <f t="shared" si="7"/>
        <v>Poor</v>
      </c>
    </row>
    <row r="207" spans="1:16" x14ac:dyDescent="0.35">
      <c r="A207" s="8">
        <v>206</v>
      </c>
      <c r="B207" s="9">
        <v>44948</v>
      </c>
      <c r="C207" s="8" t="s">
        <v>233</v>
      </c>
      <c r="D207" s="8" t="s">
        <v>16</v>
      </c>
      <c r="E207" s="10">
        <v>450.64</v>
      </c>
      <c r="F207" s="8">
        <v>5</v>
      </c>
      <c r="G207" s="8">
        <v>1</v>
      </c>
      <c r="H207" s="8" t="s">
        <v>14</v>
      </c>
      <c r="I207" s="8" t="s">
        <v>18</v>
      </c>
      <c r="J207" s="8">
        <v>3.4</v>
      </c>
      <c r="K207" s="8">
        <v>191</v>
      </c>
      <c r="L207" s="10">
        <v>428.11</v>
      </c>
      <c r="M207" s="10">
        <v>428.11</v>
      </c>
      <c r="O207" s="14" t="str">
        <f t="shared" si="6"/>
        <v>Low</v>
      </c>
      <c r="P207" s="12" t="str">
        <f t="shared" si="7"/>
        <v>Good</v>
      </c>
    </row>
    <row r="208" spans="1:16" x14ac:dyDescent="0.35">
      <c r="A208" s="8">
        <v>207</v>
      </c>
      <c r="B208" s="9">
        <v>44674</v>
      </c>
      <c r="C208" s="8" t="s">
        <v>234</v>
      </c>
      <c r="D208" s="8" t="s">
        <v>13</v>
      </c>
      <c r="E208" s="10">
        <v>95.74</v>
      </c>
      <c r="F208" s="8">
        <v>5</v>
      </c>
      <c r="G208" s="8">
        <v>4</v>
      </c>
      <c r="H208" s="8" t="s">
        <v>14</v>
      </c>
      <c r="I208" s="8" t="s">
        <v>23</v>
      </c>
      <c r="J208" s="8">
        <v>1.1000000000000001</v>
      </c>
      <c r="K208" s="8">
        <v>76</v>
      </c>
      <c r="L208" s="10">
        <v>90.95</v>
      </c>
      <c r="M208" s="10">
        <v>363.8</v>
      </c>
      <c r="O208" s="14" t="str">
        <f t="shared" si="6"/>
        <v>Low</v>
      </c>
      <c r="P208" s="12" t="str">
        <f t="shared" si="7"/>
        <v>Poor</v>
      </c>
    </row>
    <row r="209" spans="1:16" x14ac:dyDescent="0.35">
      <c r="A209" s="8">
        <v>208</v>
      </c>
      <c r="B209" s="9">
        <v>45174</v>
      </c>
      <c r="C209" s="8" t="s">
        <v>235</v>
      </c>
      <c r="D209" s="8" t="s">
        <v>19</v>
      </c>
      <c r="E209" s="10">
        <v>378.47</v>
      </c>
      <c r="F209" s="8">
        <v>15</v>
      </c>
      <c r="G209" s="8">
        <v>4</v>
      </c>
      <c r="H209" s="8" t="s">
        <v>17</v>
      </c>
      <c r="I209" s="8" t="s">
        <v>26</v>
      </c>
      <c r="J209" s="8">
        <v>3.6</v>
      </c>
      <c r="K209" s="8">
        <v>349</v>
      </c>
      <c r="L209" s="10">
        <v>321.7</v>
      </c>
      <c r="M209" s="10">
        <v>1286.8</v>
      </c>
      <c r="O209" s="14" t="str">
        <f t="shared" si="6"/>
        <v>High</v>
      </c>
      <c r="P209" s="12" t="str">
        <f t="shared" si="7"/>
        <v>Good</v>
      </c>
    </row>
    <row r="210" spans="1:16" x14ac:dyDescent="0.35">
      <c r="A210" s="8">
        <v>209</v>
      </c>
      <c r="B210" s="9">
        <v>45186</v>
      </c>
      <c r="C210" s="8" t="s">
        <v>236</v>
      </c>
      <c r="D210" s="8" t="s">
        <v>16</v>
      </c>
      <c r="E210" s="10">
        <v>377.43</v>
      </c>
      <c r="F210" s="8">
        <v>20</v>
      </c>
      <c r="G210" s="8">
        <v>1</v>
      </c>
      <c r="H210" s="8" t="s">
        <v>21</v>
      </c>
      <c r="I210" s="8" t="s">
        <v>24</v>
      </c>
      <c r="J210" s="8">
        <v>1.1000000000000001</v>
      </c>
      <c r="K210" s="8">
        <v>81</v>
      </c>
      <c r="L210" s="10">
        <v>301.94</v>
      </c>
      <c r="M210" s="10">
        <v>301.94</v>
      </c>
      <c r="O210" s="14" t="str">
        <f t="shared" si="6"/>
        <v>Low</v>
      </c>
      <c r="P210" s="12" t="str">
        <f t="shared" si="7"/>
        <v>Poor</v>
      </c>
    </row>
    <row r="211" spans="1:16" x14ac:dyDescent="0.35">
      <c r="A211" s="8">
        <v>210</v>
      </c>
      <c r="B211" s="9">
        <v>44642</v>
      </c>
      <c r="C211" s="8" t="s">
        <v>237</v>
      </c>
      <c r="D211" s="8" t="s">
        <v>22</v>
      </c>
      <c r="E211" s="10">
        <v>86.82</v>
      </c>
      <c r="F211" s="8">
        <v>10</v>
      </c>
      <c r="G211" s="8">
        <v>2</v>
      </c>
      <c r="H211" s="8" t="s">
        <v>17</v>
      </c>
      <c r="I211" s="8" t="s">
        <v>15</v>
      </c>
      <c r="J211" s="8">
        <v>1.7</v>
      </c>
      <c r="K211" s="8">
        <v>53</v>
      </c>
      <c r="L211" s="10">
        <v>78.14</v>
      </c>
      <c r="M211" s="10">
        <v>156.28</v>
      </c>
      <c r="O211" s="14" t="str">
        <f t="shared" si="6"/>
        <v>Low</v>
      </c>
      <c r="P211" s="12" t="str">
        <f t="shared" si="7"/>
        <v>Poor</v>
      </c>
    </row>
    <row r="212" spans="1:16" x14ac:dyDescent="0.35">
      <c r="A212" s="8">
        <v>211</v>
      </c>
      <c r="B212" s="9">
        <v>45260</v>
      </c>
      <c r="C212" s="8" t="s">
        <v>238</v>
      </c>
      <c r="D212" s="8" t="s">
        <v>13</v>
      </c>
      <c r="E212" s="10">
        <v>152.61000000000001</v>
      </c>
      <c r="F212" s="8">
        <v>10</v>
      </c>
      <c r="G212" s="8">
        <v>1</v>
      </c>
      <c r="H212" s="8" t="s">
        <v>21</v>
      </c>
      <c r="I212" s="8" t="s">
        <v>24</v>
      </c>
      <c r="J212" s="8">
        <v>2.2999999999999998</v>
      </c>
      <c r="K212" s="8">
        <v>381</v>
      </c>
      <c r="L212" s="10">
        <v>137.35</v>
      </c>
      <c r="M212" s="10">
        <v>137.35</v>
      </c>
      <c r="O212" s="14" t="str">
        <f t="shared" si="6"/>
        <v>Low</v>
      </c>
      <c r="P212" s="12" t="str">
        <f t="shared" si="7"/>
        <v>Poor</v>
      </c>
    </row>
    <row r="213" spans="1:16" x14ac:dyDescent="0.35">
      <c r="A213" s="8">
        <v>212</v>
      </c>
      <c r="B213" s="9">
        <v>44674</v>
      </c>
      <c r="C213" s="8" t="s">
        <v>239</v>
      </c>
      <c r="D213" s="8" t="s">
        <v>25</v>
      </c>
      <c r="E213" s="10">
        <v>42.64</v>
      </c>
      <c r="F213" s="8">
        <v>0</v>
      </c>
      <c r="G213" s="8">
        <v>5</v>
      </c>
      <c r="H213" s="8" t="s">
        <v>21</v>
      </c>
      <c r="I213" s="8" t="s">
        <v>24</v>
      </c>
      <c r="J213" s="8">
        <v>3.7</v>
      </c>
      <c r="K213" s="8">
        <v>374</v>
      </c>
      <c r="L213" s="10">
        <v>42.64</v>
      </c>
      <c r="M213" s="10">
        <v>213.2</v>
      </c>
      <c r="O213" s="14" t="str">
        <f t="shared" si="6"/>
        <v>Low</v>
      </c>
      <c r="P213" s="12" t="str">
        <f t="shared" si="7"/>
        <v>Good</v>
      </c>
    </row>
    <row r="214" spans="1:16" x14ac:dyDescent="0.35">
      <c r="A214" s="8">
        <v>213</v>
      </c>
      <c r="B214" s="9">
        <v>44563</v>
      </c>
      <c r="C214" s="8" t="s">
        <v>240</v>
      </c>
      <c r="D214" s="8" t="s">
        <v>19</v>
      </c>
      <c r="E214" s="10">
        <v>42.06</v>
      </c>
      <c r="F214" s="8">
        <v>30</v>
      </c>
      <c r="G214" s="8">
        <v>4</v>
      </c>
      <c r="H214" s="8" t="s">
        <v>17</v>
      </c>
      <c r="I214" s="8" t="s">
        <v>23</v>
      </c>
      <c r="J214" s="8">
        <v>4.8</v>
      </c>
      <c r="K214" s="8">
        <v>269</v>
      </c>
      <c r="L214" s="10">
        <v>29.44</v>
      </c>
      <c r="M214" s="10">
        <v>117.76</v>
      </c>
      <c r="O214" s="14" t="str">
        <f t="shared" si="6"/>
        <v>Low</v>
      </c>
      <c r="P214" s="12" t="str">
        <f t="shared" si="7"/>
        <v>Excellent</v>
      </c>
    </row>
    <row r="215" spans="1:16" x14ac:dyDescent="0.35">
      <c r="A215" s="8">
        <v>214</v>
      </c>
      <c r="B215" s="9">
        <v>45203</v>
      </c>
      <c r="C215" s="8" t="s">
        <v>241</v>
      </c>
      <c r="D215" s="8" t="s">
        <v>25</v>
      </c>
      <c r="E215" s="10">
        <v>223.84</v>
      </c>
      <c r="F215" s="8">
        <v>0</v>
      </c>
      <c r="G215" s="8">
        <v>1</v>
      </c>
      <c r="H215" s="8" t="s">
        <v>21</v>
      </c>
      <c r="I215" s="8" t="s">
        <v>23</v>
      </c>
      <c r="J215" s="8">
        <v>2.5</v>
      </c>
      <c r="K215" s="8">
        <v>360</v>
      </c>
      <c r="L215" s="10">
        <v>223.84</v>
      </c>
      <c r="M215" s="10">
        <v>223.84</v>
      </c>
      <c r="O215" s="14" t="str">
        <f t="shared" si="6"/>
        <v>Low</v>
      </c>
      <c r="P215" s="12" t="str">
        <f t="shared" si="7"/>
        <v>Poor</v>
      </c>
    </row>
    <row r="216" spans="1:16" x14ac:dyDescent="0.35">
      <c r="A216" s="8">
        <v>215</v>
      </c>
      <c r="B216" s="9">
        <v>44781</v>
      </c>
      <c r="C216" s="8" t="s">
        <v>242</v>
      </c>
      <c r="D216" s="8" t="s">
        <v>19</v>
      </c>
      <c r="E216" s="10">
        <v>244.59</v>
      </c>
      <c r="F216" s="8">
        <v>5</v>
      </c>
      <c r="G216" s="8">
        <v>4</v>
      </c>
      <c r="H216" s="8" t="s">
        <v>17</v>
      </c>
      <c r="I216" s="8" t="s">
        <v>18</v>
      </c>
      <c r="J216" s="8">
        <v>4.0999999999999996</v>
      </c>
      <c r="K216" s="8">
        <v>169</v>
      </c>
      <c r="L216" s="10">
        <v>232.36</v>
      </c>
      <c r="M216" s="10">
        <v>929.44</v>
      </c>
      <c r="O216" s="14" t="str">
        <f t="shared" si="6"/>
        <v>Low</v>
      </c>
      <c r="P216" s="12" t="str">
        <f t="shared" si="7"/>
        <v>Good</v>
      </c>
    </row>
    <row r="217" spans="1:16" x14ac:dyDescent="0.35">
      <c r="A217" s="8">
        <v>216</v>
      </c>
      <c r="B217" s="9">
        <v>45127</v>
      </c>
      <c r="C217" s="8" t="s">
        <v>243</v>
      </c>
      <c r="D217" s="8" t="s">
        <v>25</v>
      </c>
      <c r="E217" s="10">
        <v>21.21</v>
      </c>
      <c r="F217" s="8">
        <v>0</v>
      </c>
      <c r="G217" s="8">
        <v>4</v>
      </c>
      <c r="H217" s="8" t="s">
        <v>14</v>
      </c>
      <c r="I217" s="8" t="s">
        <v>24</v>
      </c>
      <c r="J217" s="8">
        <v>2.9</v>
      </c>
      <c r="K217" s="8">
        <v>220</v>
      </c>
      <c r="L217" s="10">
        <v>21.21</v>
      </c>
      <c r="M217" s="10">
        <v>84.84</v>
      </c>
      <c r="O217" s="14" t="str">
        <f t="shared" si="6"/>
        <v>Low</v>
      </c>
      <c r="P217" s="12" t="str">
        <f t="shared" si="7"/>
        <v>Poor</v>
      </c>
    </row>
    <row r="218" spans="1:16" x14ac:dyDescent="0.35">
      <c r="A218" s="8">
        <v>217</v>
      </c>
      <c r="B218" s="9">
        <v>44786</v>
      </c>
      <c r="C218" s="8" t="s">
        <v>244</v>
      </c>
      <c r="D218" s="8" t="s">
        <v>25</v>
      </c>
      <c r="E218" s="10">
        <v>483.28</v>
      </c>
      <c r="F218" s="8">
        <v>0</v>
      </c>
      <c r="G218" s="8">
        <v>5</v>
      </c>
      <c r="H218" s="8" t="s">
        <v>17</v>
      </c>
      <c r="I218" s="8" t="s">
        <v>15</v>
      </c>
      <c r="J218" s="8">
        <v>2.4</v>
      </c>
      <c r="K218" s="8">
        <v>190</v>
      </c>
      <c r="L218" s="10">
        <v>483.28</v>
      </c>
      <c r="M218" s="10">
        <v>2416.4</v>
      </c>
      <c r="O218" s="14" t="str">
        <f t="shared" si="6"/>
        <v>High</v>
      </c>
      <c r="P218" s="12" t="str">
        <f t="shared" si="7"/>
        <v>Poor</v>
      </c>
    </row>
    <row r="219" spans="1:16" x14ac:dyDescent="0.35">
      <c r="A219" s="8">
        <v>218</v>
      </c>
      <c r="B219" s="9">
        <v>44946</v>
      </c>
      <c r="C219" s="8" t="s">
        <v>245</v>
      </c>
      <c r="D219" s="8" t="s">
        <v>19</v>
      </c>
      <c r="E219" s="10">
        <v>245.72</v>
      </c>
      <c r="F219" s="8">
        <v>5</v>
      </c>
      <c r="G219" s="8">
        <v>2</v>
      </c>
      <c r="H219" s="8" t="s">
        <v>20</v>
      </c>
      <c r="I219" s="8" t="s">
        <v>23</v>
      </c>
      <c r="J219" s="8">
        <v>3.2</v>
      </c>
      <c r="K219" s="8">
        <v>122</v>
      </c>
      <c r="L219" s="10">
        <v>233.43</v>
      </c>
      <c r="M219" s="10">
        <v>466.86</v>
      </c>
      <c r="O219" s="14" t="str">
        <f t="shared" si="6"/>
        <v>Low</v>
      </c>
      <c r="P219" s="12" t="str">
        <f t="shared" si="7"/>
        <v>Good</v>
      </c>
    </row>
    <row r="220" spans="1:16" x14ac:dyDescent="0.35">
      <c r="A220" s="8">
        <v>219</v>
      </c>
      <c r="B220" s="9">
        <v>44964</v>
      </c>
      <c r="C220" s="8" t="s">
        <v>246</v>
      </c>
      <c r="D220" s="8" t="s">
        <v>27</v>
      </c>
      <c r="E220" s="10">
        <v>394.98</v>
      </c>
      <c r="F220" s="8">
        <v>30</v>
      </c>
      <c r="G220" s="8">
        <v>5</v>
      </c>
      <c r="H220" s="8" t="s">
        <v>17</v>
      </c>
      <c r="I220" s="8" t="s">
        <v>15</v>
      </c>
      <c r="J220" s="8">
        <v>4.7</v>
      </c>
      <c r="K220" s="8">
        <v>8</v>
      </c>
      <c r="L220" s="10">
        <v>276.49</v>
      </c>
      <c r="M220" s="10">
        <v>1382.45</v>
      </c>
      <c r="O220" s="14" t="str">
        <f t="shared" si="6"/>
        <v>High</v>
      </c>
      <c r="P220" s="12" t="str">
        <f t="shared" si="7"/>
        <v>Excellent</v>
      </c>
    </row>
    <row r="221" spans="1:16" x14ac:dyDescent="0.35">
      <c r="A221" s="8">
        <v>220</v>
      </c>
      <c r="B221" s="9">
        <v>45199</v>
      </c>
      <c r="C221" s="8" t="s">
        <v>247</v>
      </c>
      <c r="D221" s="8" t="s">
        <v>19</v>
      </c>
      <c r="E221" s="10">
        <v>319.29000000000002</v>
      </c>
      <c r="F221" s="8">
        <v>5</v>
      </c>
      <c r="G221" s="8">
        <v>4</v>
      </c>
      <c r="H221" s="8" t="s">
        <v>21</v>
      </c>
      <c r="I221" s="8" t="s">
        <v>18</v>
      </c>
      <c r="J221" s="8">
        <v>2.1</v>
      </c>
      <c r="K221" s="8">
        <v>244</v>
      </c>
      <c r="L221" s="10">
        <v>303.33</v>
      </c>
      <c r="M221" s="10">
        <v>1213.32</v>
      </c>
      <c r="O221" s="14" t="str">
        <f t="shared" si="6"/>
        <v>High</v>
      </c>
      <c r="P221" s="12" t="str">
        <f t="shared" si="7"/>
        <v>Poor</v>
      </c>
    </row>
    <row r="222" spans="1:16" x14ac:dyDescent="0.35">
      <c r="A222" s="8">
        <v>221</v>
      </c>
      <c r="B222" s="9">
        <v>44691</v>
      </c>
      <c r="C222" s="8" t="s">
        <v>248</v>
      </c>
      <c r="D222" s="8" t="s">
        <v>22</v>
      </c>
      <c r="E222" s="10">
        <v>311.56</v>
      </c>
      <c r="F222" s="8">
        <v>30</v>
      </c>
      <c r="G222" s="8">
        <v>5</v>
      </c>
      <c r="H222" s="8" t="s">
        <v>17</v>
      </c>
      <c r="I222" s="8" t="s">
        <v>26</v>
      </c>
      <c r="J222" s="8">
        <v>1.7</v>
      </c>
      <c r="K222" s="8">
        <v>203</v>
      </c>
      <c r="L222" s="10">
        <v>218.09</v>
      </c>
      <c r="M222" s="10">
        <v>1090.45</v>
      </c>
      <c r="O222" s="14" t="str">
        <f t="shared" si="6"/>
        <v>High</v>
      </c>
      <c r="P222" s="12" t="str">
        <f t="shared" si="7"/>
        <v>Poor</v>
      </c>
    </row>
    <row r="223" spans="1:16" x14ac:dyDescent="0.35">
      <c r="A223" s="8">
        <v>222</v>
      </c>
      <c r="B223" s="9">
        <v>44614</v>
      </c>
      <c r="C223" s="8" t="s">
        <v>249</v>
      </c>
      <c r="D223" s="8" t="s">
        <v>13</v>
      </c>
      <c r="E223" s="10">
        <v>155.05000000000001</v>
      </c>
      <c r="F223" s="8">
        <v>0</v>
      </c>
      <c r="G223" s="8">
        <v>4</v>
      </c>
      <c r="H223" s="8" t="s">
        <v>21</v>
      </c>
      <c r="I223" s="8" t="s">
        <v>18</v>
      </c>
      <c r="J223" s="8">
        <v>3.9</v>
      </c>
      <c r="K223" s="8">
        <v>69</v>
      </c>
      <c r="L223" s="10">
        <v>155.05000000000001</v>
      </c>
      <c r="M223" s="10">
        <v>620.20000000000005</v>
      </c>
      <c r="O223" s="14" t="str">
        <f t="shared" si="6"/>
        <v>Low</v>
      </c>
      <c r="P223" s="12" t="str">
        <f t="shared" si="7"/>
        <v>Good</v>
      </c>
    </row>
    <row r="224" spans="1:16" x14ac:dyDescent="0.35">
      <c r="A224" s="8">
        <v>223</v>
      </c>
      <c r="B224" s="9">
        <v>45245</v>
      </c>
      <c r="C224" s="8" t="s">
        <v>250</v>
      </c>
      <c r="D224" s="8" t="s">
        <v>22</v>
      </c>
      <c r="E224" s="10">
        <v>444.12</v>
      </c>
      <c r="F224" s="8">
        <v>10</v>
      </c>
      <c r="G224" s="8">
        <v>3</v>
      </c>
      <c r="H224" s="8" t="s">
        <v>20</v>
      </c>
      <c r="I224" s="8" t="s">
        <v>15</v>
      </c>
      <c r="J224" s="8">
        <v>1.2</v>
      </c>
      <c r="K224" s="8">
        <v>62</v>
      </c>
      <c r="L224" s="10">
        <v>399.71</v>
      </c>
      <c r="M224" s="10">
        <v>1199.1300000000001</v>
      </c>
      <c r="O224" s="14" t="str">
        <f t="shared" si="6"/>
        <v>High</v>
      </c>
      <c r="P224" s="12" t="str">
        <f t="shared" si="7"/>
        <v>Poor</v>
      </c>
    </row>
    <row r="225" spans="1:16" x14ac:dyDescent="0.35">
      <c r="A225" s="8">
        <v>224</v>
      </c>
      <c r="B225" s="9">
        <v>45291</v>
      </c>
      <c r="C225" s="8" t="s">
        <v>251</v>
      </c>
      <c r="D225" s="8" t="s">
        <v>19</v>
      </c>
      <c r="E225" s="10">
        <v>153.37</v>
      </c>
      <c r="F225" s="8">
        <v>10</v>
      </c>
      <c r="G225" s="8">
        <v>1</v>
      </c>
      <c r="H225" s="8" t="s">
        <v>21</v>
      </c>
      <c r="I225" s="8" t="s">
        <v>15</v>
      </c>
      <c r="J225" s="8">
        <v>2.7</v>
      </c>
      <c r="K225" s="8">
        <v>18</v>
      </c>
      <c r="L225" s="10">
        <v>138.03</v>
      </c>
      <c r="M225" s="10">
        <v>138.03</v>
      </c>
      <c r="O225" s="14" t="str">
        <f t="shared" si="6"/>
        <v>Low</v>
      </c>
      <c r="P225" s="12" t="str">
        <f t="shared" si="7"/>
        <v>Poor</v>
      </c>
    </row>
    <row r="226" spans="1:16" x14ac:dyDescent="0.35">
      <c r="A226" s="8">
        <v>225</v>
      </c>
      <c r="B226" s="9">
        <v>45233</v>
      </c>
      <c r="C226" s="8" t="s">
        <v>252</v>
      </c>
      <c r="D226" s="8" t="s">
        <v>25</v>
      </c>
      <c r="E226" s="10">
        <v>476</v>
      </c>
      <c r="F226" s="8">
        <v>0</v>
      </c>
      <c r="G226" s="8">
        <v>4</v>
      </c>
      <c r="H226" s="8" t="s">
        <v>21</v>
      </c>
      <c r="I226" s="8" t="s">
        <v>15</v>
      </c>
      <c r="J226" s="8">
        <v>2.4</v>
      </c>
      <c r="K226" s="8">
        <v>238</v>
      </c>
      <c r="L226" s="10">
        <v>476</v>
      </c>
      <c r="M226" s="10">
        <v>1904</v>
      </c>
      <c r="O226" s="14" t="str">
        <f t="shared" si="6"/>
        <v>High</v>
      </c>
      <c r="P226" s="12" t="str">
        <f t="shared" si="7"/>
        <v>Poor</v>
      </c>
    </row>
    <row r="227" spans="1:16" x14ac:dyDescent="0.35">
      <c r="A227" s="8">
        <v>226</v>
      </c>
      <c r="B227" s="9">
        <v>45271</v>
      </c>
      <c r="C227" s="8" t="s">
        <v>253</v>
      </c>
      <c r="D227" s="8" t="s">
        <v>19</v>
      </c>
      <c r="E227" s="10">
        <v>24.51</v>
      </c>
      <c r="F227" s="8">
        <v>15</v>
      </c>
      <c r="G227" s="8">
        <v>5</v>
      </c>
      <c r="H227" s="8" t="s">
        <v>14</v>
      </c>
      <c r="I227" s="8" t="s">
        <v>18</v>
      </c>
      <c r="J227" s="8">
        <v>2.1</v>
      </c>
      <c r="K227" s="8">
        <v>464</v>
      </c>
      <c r="L227" s="10">
        <v>20.83</v>
      </c>
      <c r="M227" s="10">
        <v>104.15</v>
      </c>
      <c r="O227" s="14" t="str">
        <f t="shared" si="6"/>
        <v>Low</v>
      </c>
      <c r="P227" s="12" t="str">
        <f t="shared" si="7"/>
        <v>Poor</v>
      </c>
    </row>
    <row r="228" spans="1:16" x14ac:dyDescent="0.35">
      <c r="A228" s="8">
        <v>227</v>
      </c>
      <c r="B228" s="9">
        <v>44977</v>
      </c>
      <c r="C228" s="8" t="s">
        <v>254</v>
      </c>
      <c r="D228" s="8" t="s">
        <v>22</v>
      </c>
      <c r="E228" s="10">
        <v>61.78</v>
      </c>
      <c r="F228" s="8">
        <v>30</v>
      </c>
      <c r="G228" s="8">
        <v>2</v>
      </c>
      <c r="H228" s="8" t="s">
        <v>20</v>
      </c>
      <c r="I228" s="8" t="s">
        <v>23</v>
      </c>
      <c r="J228" s="8">
        <v>3.4</v>
      </c>
      <c r="K228" s="8">
        <v>18</v>
      </c>
      <c r="L228" s="10">
        <v>43.25</v>
      </c>
      <c r="M228" s="10">
        <v>86.5</v>
      </c>
      <c r="O228" s="14" t="str">
        <f t="shared" si="6"/>
        <v>Low</v>
      </c>
      <c r="P228" s="12" t="str">
        <f t="shared" si="7"/>
        <v>Good</v>
      </c>
    </row>
    <row r="229" spans="1:16" x14ac:dyDescent="0.35">
      <c r="A229" s="8">
        <v>228</v>
      </c>
      <c r="B229" s="9">
        <v>44808</v>
      </c>
      <c r="C229" s="8" t="s">
        <v>255</v>
      </c>
      <c r="D229" s="8" t="s">
        <v>22</v>
      </c>
      <c r="E229" s="10">
        <v>364.65</v>
      </c>
      <c r="F229" s="8">
        <v>30</v>
      </c>
      <c r="G229" s="8">
        <v>2</v>
      </c>
      <c r="H229" s="8" t="s">
        <v>17</v>
      </c>
      <c r="I229" s="8" t="s">
        <v>18</v>
      </c>
      <c r="J229" s="8">
        <v>2.9</v>
      </c>
      <c r="K229" s="8">
        <v>77</v>
      </c>
      <c r="L229" s="10">
        <v>255.25</v>
      </c>
      <c r="M229" s="10">
        <v>510.5</v>
      </c>
      <c r="O229" s="14" t="str">
        <f t="shared" si="6"/>
        <v>Low</v>
      </c>
      <c r="P229" s="12" t="str">
        <f t="shared" si="7"/>
        <v>Poor</v>
      </c>
    </row>
    <row r="230" spans="1:16" x14ac:dyDescent="0.35">
      <c r="A230" s="8">
        <v>229</v>
      </c>
      <c r="B230" s="9">
        <v>45000</v>
      </c>
      <c r="C230" s="8" t="s">
        <v>256</v>
      </c>
      <c r="D230" s="8" t="s">
        <v>27</v>
      </c>
      <c r="E230" s="10">
        <v>306.31</v>
      </c>
      <c r="F230" s="8">
        <v>20</v>
      </c>
      <c r="G230" s="8">
        <v>4</v>
      </c>
      <c r="H230" s="8" t="s">
        <v>14</v>
      </c>
      <c r="I230" s="8" t="s">
        <v>24</v>
      </c>
      <c r="J230" s="8">
        <v>3.6</v>
      </c>
      <c r="K230" s="8">
        <v>93</v>
      </c>
      <c r="L230" s="10">
        <v>245.05</v>
      </c>
      <c r="M230" s="10">
        <v>980.2</v>
      </c>
      <c r="O230" s="14" t="str">
        <f t="shared" si="6"/>
        <v>Low</v>
      </c>
      <c r="P230" s="12" t="str">
        <f t="shared" si="7"/>
        <v>Good</v>
      </c>
    </row>
    <row r="231" spans="1:16" x14ac:dyDescent="0.35">
      <c r="A231" s="8">
        <v>230</v>
      </c>
      <c r="B231" s="9">
        <v>44764</v>
      </c>
      <c r="C231" s="8" t="s">
        <v>257</v>
      </c>
      <c r="D231" s="8" t="s">
        <v>19</v>
      </c>
      <c r="E231" s="10">
        <v>359.95</v>
      </c>
      <c r="F231" s="8">
        <v>10</v>
      </c>
      <c r="G231" s="8">
        <v>2</v>
      </c>
      <c r="H231" s="8" t="s">
        <v>20</v>
      </c>
      <c r="I231" s="8" t="s">
        <v>23</v>
      </c>
      <c r="J231" s="8">
        <v>4.2</v>
      </c>
      <c r="K231" s="8">
        <v>296</v>
      </c>
      <c r="L231" s="10">
        <v>323.95999999999998</v>
      </c>
      <c r="M231" s="10">
        <v>647.91999999999996</v>
      </c>
      <c r="O231" s="14" t="str">
        <f t="shared" si="6"/>
        <v>Low</v>
      </c>
      <c r="P231" s="12" t="str">
        <f t="shared" si="7"/>
        <v>Good</v>
      </c>
    </row>
    <row r="232" spans="1:16" x14ac:dyDescent="0.35">
      <c r="A232" s="8">
        <v>231</v>
      </c>
      <c r="B232" s="9">
        <v>44745</v>
      </c>
      <c r="C232" s="8" t="s">
        <v>258</v>
      </c>
      <c r="D232" s="8" t="s">
        <v>25</v>
      </c>
      <c r="E232" s="10">
        <v>322.60000000000002</v>
      </c>
      <c r="F232" s="8">
        <v>0</v>
      </c>
      <c r="G232" s="8">
        <v>1</v>
      </c>
      <c r="H232" s="8" t="s">
        <v>14</v>
      </c>
      <c r="I232" s="8" t="s">
        <v>23</v>
      </c>
      <c r="J232" s="8">
        <v>4.9000000000000004</v>
      </c>
      <c r="K232" s="8">
        <v>496</v>
      </c>
      <c r="L232" s="10">
        <v>322.60000000000002</v>
      </c>
      <c r="M232" s="10">
        <v>322.60000000000002</v>
      </c>
      <c r="O232" s="14" t="str">
        <f t="shared" si="6"/>
        <v>Low</v>
      </c>
      <c r="P232" s="12" t="str">
        <f t="shared" si="7"/>
        <v>Excellent</v>
      </c>
    </row>
    <row r="233" spans="1:16" x14ac:dyDescent="0.35">
      <c r="A233" s="8">
        <v>232</v>
      </c>
      <c r="B233" s="9">
        <v>44684</v>
      </c>
      <c r="C233" s="8" t="s">
        <v>259</v>
      </c>
      <c r="D233" s="8" t="s">
        <v>16</v>
      </c>
      <c r="E233" s="10">
        <v>265.97000000000003</v>
      </c>
      <c r="F233" s="8">
        <v>30</v>
      </c>
      <c r="G233" s="8">
        <v>4</v>
      </c>
      <c r="H233" s="8" t="s">
        <v>17</v>
      </c>
      <c r="I233" s="8" t="s">
        <v>24</v>
      </c>
      <c r="J233" s="8">
        <v>2</v>
      </c>
      <c r="K233" s="8">
        <v>307</v>
      </c>
      <c r="L233" s="10">
        <v>186.18</v>
      </c>
      <c r="M233" s="10">
        <v>744.72</v>
      </c>
      <c r="O233" s="14" t="str">
        <f t="shared" si="6"/>
        <v>Low</v>
      </c>
      <c r="P233" s="12" t="str">
        <f t="shared" si="7"/>
        <v>Poor</v>
      </c>
    </row>
    <row r="234" spans="1:16" x14ac:dyDescent="0.35">
      <c r="A234" s="8">
        <v>233</v>
      </c>
      <c r="B234" s="9">
        <v>44962</v>
      </c>
      <c r="C234" s="8" t="s">
        <v>260</v>
      </c>
      <c r="D234" s="8" t="s">
        <v>22</v>
      </c>
      <c r="E234" s="10">
        <v>20.440000000000001</v>
      </c>
      <c r="F234" s="8">
        <v>5</v>
      </c>
      <c r="G234" s="8">
        <v>1</v>
      </c>
      <c r="H234" s="8" t="s">
        <v>20</v>
      </c>
      <c r="I234" s="8" t="s">
        <v>23</v>
      </c>
      <c r="J234" s="8">
        <v>4.5999999999999996</v>
      </c>
      <c r="K234" s="8">
        <v>127</v>
      </c>
      <c r="L234" s="10">
        <v>19.420000000000002</v>
      </c>
      <c r="M234" s="10">
        <v>19.420000000000002</v>
      </c>
      <c r="O234" s="14" t="str">
        <f t="shared" si="6"/>
        <v>Low</v>
      </c>
      <c r="P234" s="12" t="str">
        <f t="shared" si="7"/>
        <v>Excellent</v>
      </c>
    </row>
    <row r="235" spans="1:16" x14ac:dyDescent="0.35">
      <c r="A235" s="8">
        <v>234</v>
      </c>
      <c r="B235" s="9">
        <v>44855</v>
      </c>
      <c r="C235" s="8" t="s">
        <v>261</v>
      </c>
      <c r="D235" s="8" t="s">
        <v>19</v>
      </c>
      <c r="E235" s="10">
        <v>405.41</v>
      </c>
      <c r="F235" s="8">
        <v>20</v>
      </c>
      <c r="G235" s="8">
        <v>4</v>
      </c>
      <c r="H235" s="8" t="s">
        <v>14</v>
      </c>
      <c r="I235" s="8" t="s">
        <v>15</v>
      </c>
      <c r="J235" s="8">
        <v>4</v>
      </c>
      <c r="K235" s="8">
        <v>250</v>
      </c>
      <c r="L235" s="10">
        <v>324.33</v>
      </c>
      <c r="M235" s="10">
        <v>1297.32</v>
      </c>
      <c r="O235" s="14" t="str">
        <f t="shared" si="6"/>
        <v>High</v>
      </c>
      <c r="P235" s="12" t="str">
        <f t="shared" si="7"/>
        <v>Good</v>
      </c>
    </row>
    <row r="236" spans="1:16" x14ac:dyDescent="0.35">
      <c r="A236" s="8">
        <v>235</v>
      </c>
      <c r="B236" s="9">
        <v>44841</v>
      </c>
      <c r="C236" s="8" t="s">
        <v>262</v>
      </c>
      <c r="D236" s="8" t="s">
        <v>22</v>
      </c>
      <c r="E236" s="10">
        <v>257.52</v>
      </c>
      <c r="F236" s="8">
        <v>10</v>
      </c>
      <c r="G236" s="8">
        <v>1</v>
      </c>
      <c r="H236" s="8" t="s">
        <v>21</v>
      </c>
      <c r="I236" s="8" t="s">
        <v>15</v>
      </c>
      <c r="J236" s="8">
        <v>1.8</v>
      </c>
      <c r="K236" s="8">
        <v>245</v>
      </c>
      <c r="L236" s="10">
        <v>231.77</v>
      </c>
      <c r="M236" s="10">
        <v>231.77</v>
      </c>
      <c r="O236" s="14" t="str">
        <f t="shared" si="6"/>
        <v>Low</v>
      </c>
      <c r="P236" s="12" t="str">
        <f t="shared" si="7"/>
        <v>Poor</v>
      </c>
    </row>
    <row r="237" spans="1:16" x14ac:dyDescent="0.35">
      <c r="A237" s="8">
        <v>236</v>
      </c>
      <c r="B237" s="9">
        <v>45171</v>
      </c>
      <c r="C237" s="8" t="s">
        <v>263</v>
      </c>
      <c r="D237" s="8" t="s">
        <v>25</v>
      </c>
      <c r="E237" s="10">
        <v>57.38</v>
      </c>
      <c r="F237" s="8">
        <v>15</v>
      </c>
      <c r="G237" s="8">
        <v>4</v>
      </c>
      <c r="H237" s="8" t="s">
        <v>21</v>
      </c>
      <c r="I237" s="8" t="s">
        <v>24</v>
      </c>
      <c r="J237" s="8">
        <v>1.7</v>
      </c>
      <c r="K237" s="8">
        <v>17</v>
      </c>
      <c r="L237" s="10">
        <v>48.77</v>
      </c>
      <c r="M237" s="10">
        <v>195.08</v>
      </c>
      <c r="O237" s="14" t="str">
        <f t="shared" si="6"/>
        <v>Low</v>
      </c>
      <c r="P237" s="12" t="str">
        <f t="shared" si="7"/>
        <v>Poor</v>
      </c>
    </row>
    <row r="238" spans="1:16" x14ac:dyDescent="0.35">
      <c r="A238" s="8">
        <v>237</v>
      </c>
      <c r="B238" s="9">
        <v>44759</v>
      </c>
      <c r="C238" s="8" t="s">
        <v>264</v>
      </c>
      <c r="D238" s="8" t="s">
        <v>27</v>
      </c>
      <c r="E238" s="10">
        <v>100.28</v>
      </c>
      <c r="F238" s="8">
        <v>20</v>
      </c>
      <c r="G238" s="8">
        <v>4</v>
      </c>
      <c r="H238" s="8" t="s">
        <v>14</v>
      </c>
      <c r="I238" s="8" t="s">
        <v>15</v>
      </c>
      <c r="J238" s="8">
        <v>3.2</v>
      </c>
      <c r="K238" s="8">
        <v>115</v>
      </c>
      <c r="L238" s="10">
        <v>80.22</v>
      </c>
      <c r="M238" s="10">
        <v>320.88</v>
      </c>
      <c r="O238" s="14" t="str">
        <f t="shared" si="6"/>
        <v>Low</v>
      </c>
      <c r="P238" s="12" t="str">
        <f t="shared" si="7"/>
        <v>Good</v>
      </c>
    </row>
    <row r="239" spans="1:16" x14ac:dyDescent="0.35">
      <c r="A239" s="8">
        <v>238</v>
      </c>
      <c r="B239" s="9">
        <v>45072</v>
      </c>
      <c r="C239" s="8" t="s">
        <v>265</v>
      </c>
      <c r="D239" s="8" t="s">
        <v>19</v>
      </c>
      <c r="E239" s="10">
        <v>332.69</v>
      </c>
      <c r="F239" s="8">
        <v>0</v>
      </c>
      <c r="G239" s="8">
        <v>2</v>
      </c>
      <c r="H239" s="8" t="s">
        <v>17</v>
      </c>
      <c r="I239" s="8" t="s">
        <v>24</v>
      </c>
      <c r="J239" s="8">
        <v>4.2</v>
      </c>
      <c r="K239" s="8">
        <v>408</v>
      </c>
      <c r="L239" s="10">
        <v>332.69</v>
      </c>
      <c r="M239" s="10">
        <v>665.38</v>
      </c>
      <c r="O239" s="14" t="str">
        <f t="shared" si="6"/>
        <v>Low</v>
      </c>
      <c r="P239" s="12" t="str">
        <f t="shared" si="7"/>
        <v>Good</v>
      </c>
    </row>
    <row r="240" spans="1:16" x14ac:dyDescent="0.35">
      <c r="A240" s="8">
        <v>239</v>
      </c>
      <c r="B240" s="9">
        <v>44705</v>
      </c>
      <c r="C240" s="8" t="s">
        <v>266</v>
      </c>
      <c r="D240" s="8" t="s">
        <v>13</v>
      </c>
      <c r="E240" s="10">
        <v>43.12</v>
      </c>
      <c r="F240" s="8">
        <v>15</v>
      </c>
      <c r="G240" s="8">
        <v>1</v>
      </c>
      <c r="H240" s="8" t="s">
        <v>17</v>
      </c>
      <c r="I240" s="8" t="s">
        <v>24</v>
      </c>
      <c r="J240" s="8">
        <v>3.1</v>
      </c>
      <c r="K240" s="8">
        <v>359</v>
      </c>
      <c r="L240" s="10">
        <v>36.65</v>
      </c>
      <c r="M240" s="10">
        <v>36.65</v>
      </c>
      <c r="O240" s="14" t="str">
        <f t="shared" si="6"/>
        <v>Low</v>
      </c>
      <c r="P240" s="12" t="str">
        <f t="shared" si="7"/>
        <v>Good</v>
      </c>
    </row>
    <row r="241" spans="1:16" x14ac:dyDescent="0.35">
      <c r="A241" s="8">
        <v>240</v>
      </c>
      <c r="B241" s="9">
        <v>45170</v>
      </c>
      <c r="C241" s="8" t="s">
        <v>267</v>
      </c>
      <c r="D241" s="8" t="s">
        <v>25</v>
      </c>
      <c r="E241" s="10">
        <v>435.39</v>
      </c>
      <c r="F241" s="8">
        <v>15</v>
      </c>
      <c r="G241" s="8">
        <v>4</v>
      </c>
      <c r="H241" s="8" t="s">
        <v>14</v>
      </c>
      <c r="I241" s="8" t="s">
        <v>26</v>
      </c>
      <c r="J241" s="8">
        <v>2.5</v>
      </c>
      <c r="K241" s="8">
        <v>357</v>
      </c>
      <c r="L241" s="10">
        <v>370.08</v>
      </c>
      <c r="M241" s="10">
        <v>1480.32</v>
      </c>
      <c r="O241" s="14" t="str">
        <f t="shared" si="6"/>
        <v>High</v>
      </c>
      <c r="P241" s="12" t="str">
        <f t="shared" si="7"/>
        <v>Poor</v>
      </c>
    </row>
    <row r="242" spans="1:16" x14ac:dyDescent="0.35">
      <c r="A242" s="8">
        <v>241</v>
      </c>
      <c r="B242" s="9">
        <v>44762</v>
      </c>
      <c r="C242" s="8" t="s">
        <v>268</v>
      </c>
      <c r="D242" s="8" t="s">
        <v>19</v>
      </c>
      <c r="E242" s="10">
        <v>396.41</v>
      </c>
      <c r="F242" s="8">
        <v>20</v>
      </c>
      <c r="G242" s="8">
        <v>5</v>
      </c>
      <c r="H242" s="8" t="s">
        <v>17</v>
      </c>
      <c r="I242" s="8" t="s">
        <v>15</v>
      </c>
      <c r="J242" s="8">
        <v>5</v>
      </c>
      <c r="K242" s="8">
        <v>54</v>
      </c>
      <c r="L242" s="10">
        <v>317.13</v>
      </c>
      <c r="M242" s="10">
        <v>1585.65</v>
      </c>
      <c r="O242" s="14" t="str">
        <f t="shared" si="6"/>
        <v>High</v>
      </c>
      <c r="P242" s="12" t="str">
        <f t="shared" si="7"/>
        <v>Excellent</v>
      </c>
    </row>
    <row r="243" spans="1:16" x14ac:dyDescent="0.35">
      <c r="A243" s="8">
        <v>242</v>
      </c>
      <c r="B243" s="9">
        <v>44685</v>
      </c>
      <c r="C243" s="8" t="s">
        <v>269</v>
      </c>
      <c r="D243" s="8" t="s">
        <v>13</v>
      </c>
      <c r="E243" s="10">
        <v>156.63</v>
      </c>
      <c r="F243" s="8">
        <v>10</v>
      </c>
      <c r="G243" s="8">
        <v>2</v>
      </c>
      <c r="H243" s="8" t="s">
        <v>20</v>
      </c>
      <c r="I243" s="8" t="s">
        <v>24</v>
      </c>
      <c r="J243" s="8">
        <v>1.8</v>
      </c>
      <c r="K243" s="8">
        <v>364</v>
      </c>
      <c r="L243" s="10">
        <v>140.97</v>
      </c>
      <c r="M243" s="10">
        <v>281.94</v>
      </c>
      <c r="O243" s="14" t="str">
        <f t="shared" si="6"/>
        <v>Low</v>
      </c>
      <c r="P243" s="12" t="str">
        <f t="shared" si="7"/>
        <v>Poor</v>
      </c>
    </row>
    <row r="244" spans="1:16" x14ac:dyDescent="0.35">
      <c r="A244" s="8">
        <v>243</v>
      </c>
      <c r="B244" s="9">
        <v>44748</v>
      </c>
      <c r="C244" s="8" t="s">
        <v>270</v>
      </c>
      <c r="D244" s="8" t="s">
        <v>16</v>
      </c>
      <c r="E244" s="10">
        <v>442.34</v>
      </c>
      <c r="F244" s="8">
        <v>30</v>
      </c>
      <c r="G244" s="8">
        <v>4</v>
      </c>
      <c r="H244" s="8" t="s">
        <v>20</v>
      </c>
      <c r="I244" s="8" t="s">
        <v>26</v>
      </c>
      <c r="J244" s="8">
        <v>3.7</v>
      </c>
      <c r="K244" s="8">
        <v>106</v>
      </c>
      <c r="L244" s="10">
        <v>309.64</v>
      </c>
      <c r="M244" s="10">
        <v>1238.56</v>
      </c>
      <c r="O244" s="14" t="str">
        <f t="shared" si="6"/>
        <v>High</v>
      </c>
      <c r="P244" s="12" t="str">
        <f t="shared" si="7"/>
        <v>Good</v>
      </c>
    </row>
    <row r="245" spans="1:16" x14ac:dyDescent="0.35">
      <c r="A245" s="8">
        <v>244</v>
      </c>
      <c r="B245" s="9">
        <v>44887</v>
      </c>
      <c r="C245" s="8" t="s">
        <v>271</v>
      </c>
      <c r="D245" s="8" t="s">
        <v>13</v>
      </c>
      <c r="E245" s="10">
        <v>443.16</v>
      </c>
      <c r="F245" s="8">
        <v>5</v>
      </c>
      <c r="G245" s="8">
        <v>4</v>
      </c>
      <c r="H245" s="8" t="s">
        <v>17</v>
      </c>
      <c r="I245" s="8" t="s">
        <v>15</v>
      </c>
      <c r="J245" s="8">
        <v>3.3</v>
      </c>
      <c r="K245" s="8">
        <v>128</v>
      </c>
      <c r="L245" s="10">
        <v>421</v>
      </c>
      <c r="M245" s="10">
        <v>1684</v>
      </c>
      <c r="O245" s="14" t="str">
        <f t="shared" si="6"/>
        <v>High</v>
      </c>
      <c r="P245" s="12" t="str">
        <f t="shared" si="7"/>
        <v>Good</v>
      </c>
    </row>
    <row r="246" spans="1:16" x14ac:dyDescent="0.35">
      <c r="A246" s="8">
        <v>245</v>
      </c>
      <c r="B246" s="9">
        <v>45025</v>
      </c>
      <c r="C246" s="8" t="s">
        <v>272</v>
      </c>
      <c r="D246" s="8" t="s">
        <v>22</v>
      </c>
      <c r="E246" s="10">
        <v>419.73</v>
      </c>
      <c r="F246" s="8">
        <v>0</v>
      </c>
      <c r="G246" s="8">
        <v>1</v>
      </c>
      <c r="H246" s="8" t="s">
        <v>21</v>
      </c>
      <c r="I246" s="8" t="s">
        <v>15</v>
      </c>
      <c r="J246" s="8">
        <v>2.4</v>
      </c>
      <c r="K246" s="8">
        <v>383</v>
      </c>
      <c r="L246" s="10">
        <v>419.73</v>
      </c>
      <c r="M246" s="10">
        <v>419.73</v>
      </c>
      <c r="O246" s="14" t="str">
        <f t="shared" si="6"/>
        <v>Low</v>
      </c>
      <c r="P246" s="12" t="str">
        <f t="shared" si="7"/>
        <v>Poor</v>
      </c>
    </row>
    <row r="247" spans="1:16" x14ac:dyDescent="0.35">
      <c r="A247" s="8">
        <v>246</v>
      </c>
      <c r="B247" s="9">
        <v>44910</v>
      </c>
      <c r="C247" s="8" t="s">
        <v>273</v>
      </c>
      <c r="D247" s="8" t="s">
        <v>27</v>
      </c>
      <c r="E247" s="10">
        <v>157.29</v>
      </c>
      <c r="F247" s="8">
        <v>5</v>
      </c>
      <c r="G247" s="8">
        <v>2</v>
      </c>
      <c r="H247" s="8" t="s">
        <v>21</v>
      </c>
      <c r="I247" s="8" t="s">
        <v>15</v>
      </c>
      <c r="J247" s="8">
        <v>3.5</v>
      </c>
      <c r="K247" s="8">
        <v>113</v>
      </c>
      <c r="L247" s="10">
        <v>149.43</v>
      </c>
      <c r="M247" s="10">
        <v>298.86</v>
      </c>
      <c r="O247" s="14" t="str">
        <f t="shared" si="6"/>
        <v>Low</v>
      </c>
      <c r="P247" s="12" t="str">
        <f t="shared" si="7"/>
        <v>Good</v>
      </c>
    </row>
    <row r="248" spans="1:16" x14ac:dyDescent="0.35">
      <c r="A248" s="8">
        <v>247</v>
      </c>
      <c r="B248" s="9">
        <v>45221</v>
      </c>
      <c r="C248" s="8" t="s">
        <v>274</v>
      </c>
      <c r="D248" s="8" t="s">
        <v>19</v>
      </c>
      <c r="E248" s="10">
        <v>329.65</v>
      </c>
      <c r="F248" s="8">
        <v>0</v>
      </c>
      <c r="G248" s="8">
        <v>2</v>
      </c>
      <c r="H248" s="8" t="s">
        <v>21</v>
      </c>
      <c r="I248" s="8" t="s">
        <v>18</v>
      </c>
      <c r="J248" s="8">
        <v>3.6</v>
      </c>
      <c r="K248" s="8">
        <v>354</v>
      </c>
      <c r="L248" s="10">
        <v>329.65</v>
      </c>
      <c r="M248" s="10">
        <v>659.3</v>
      </c>
      <c r="O248" s="14" t="str">
        <f t="shared" si="6"/>
        <v>Low</v>
      </c>
      <c r="P248" s="12" t="str">
        <f t="shared" si="7"/>
        <v>Good</v>
      </c>
    </row>
    <row r="249" spans="1:16" x14ac:dyDescent="0.35">
      <c r="A249" s="8">
        <v>248</v>
      </c>
      <c r="B249" s="9">
        <v>44964</v>
      </c>
      <c r="C249" s="8" t="s">
        <v>275</v>
      </c>
      <c r="D249" s="8" t="s">
        <v>19</v>
      </c>
      <c r="E249" s="10">
        <v>228.45</v>
      </c>
      <c r="F249" s="8">
        <v>30</v>
      </c>
      <c r="G249" s="8">
        <v>5</v>
      </c>
      <c r="H249" s="8" t="s">
        <v>14</v>
      </c>
      <c r="I249" s="8" t="s">
        <v>23</v>
      </c>
      <c r="J249" s="8">
        <v>4.9000000000000004</v>
      </c>
      <c r="K249" s="8">
        <v>49</v>
      </c>
      <c r="L249" s="10">
        <v>159.91999999999999</v>
      </c>
      <c r="M249" s="10">
        <v>799.6</v>
      </c>
      <c r="O249" s="14" t="str">
        <f t="shared" si="6"/>
        <v>Low</v>
      </c>
      <c r="P249" s="12" t="str">
        <f t="shared" si="7"/>
        <v>Excellent</v>
      </c>
    </row>
    <row r="250" spans="1:16" x14ac:dyDescent="0.35">
      <c r="A250" s="8">
        <v>249</v>
      </c>
      <c r="B250" s="9">
        <v>44907</v>
      </c>
      <c r="C250" s="8" t="s">
        <v>276</v>
      </c>
      <c r="D250" s="8" t="s">
        <v>16</v>
      </c>
      <c r="E250" s="10">
        <v>271.75</v>
      </c>
      <c r="F250" s="8">
        <v>15</v>
      </c>
      <c r="G250" s="8">
        <v>1</v>
      </c>
      <c r="H250" s="8" t="s">
        <v>21</v>
      </c>
      <c r="I250" s="8" t="s">
        <v>15</v>
      </c>
      <c r="J250" s="8">
        <v>3.7</v>
      </c>
      <c r="K250" s="8">
        <v>75</v>
      </c>
      <c r="L250" s="10">
        <v>230.99</v>
      </c>
      <c r="M250" s="10">
        <v>230.99</v>
      </c>
      <c r="O250" s="14" t="str">
        <f t="shared" si="6"/>
        <v>Low</v>
      </c>
      <c r="P250" s="12" t="str">
        <f t="shared" si="7"/>
        <v>Good</v>
      </c>
    </row>
    <row r="251" spans="1:16" x14ac:dyDescent="0.35">
      <c r="A251" s="8">
        <v>250</v>
      </c>
      <c r="B251" s="9">
        <v>45072</v>
      </c>
      <c r="C251" s="8" t="s">
        <v>277</v>
      </c>
      <c r="D251" s="8" t="s">
        <v>27</v>
      </c>
      <c r="E251" s="10">
        <v>207.8</v>
      </c>
      <c r="F251" s="8">
        <v>15</v>
      </c>
      <c r="G251" s="8">
        <v>3</v>
      </c>
      <c r="H251" s="8" t="s">
        <v>17</v>
      </c>
      <c r="I251" s="8" t="s">
        <v>15</v>
      </c>
      <c r="J251" s="8">
        <v>1.7</v>
      </c>
      <c r="K251" s="8">
        <v>169</v>
      </c>
      <c r="L251" s="10">
        <v>176.63</v>
      </c>
      <c r="M251" s="10">
        <v>529.89</v>
      </c>
      <c r="O251" s="14" t="str">
        <f t="shared" si="6"/>
        <v>Low</v>
      </c>
      <c r="P251" s="12" t="str">
        <f t="shared" si="7"/>
        <v>Poor</v>
      </c>
    </row>
    <row r="252" spans="1:16" x14ac:dyDescent="0.35">
      <c r="A252" s="8">
        <v>251</v>
      </c>
      <c r="B252" s="9">
        <v>44708</v>
      </c>
      <c r="C252" s="8" t="s">
        <v>278</v>
      </c>
      <c r="D252" s="8" t="s">
        <v>19</v>
      </c>
      <c r="E252" s="10">
        <v>6.97</v>
      </c>
      <c r="F252" s="8">
        <v>0</v>
      </c>
      <c r="G252" s="8">
        <v>1</v>
      </c>
      <c r="H252" s="8" t="s">
        <v>21</v>
      </c>
      <c r="I252" s="8" t="s">
        <v>23</v>
      </c>
      <c r="J252" s="8">
        <v>1.7</v>
      </c>
      <c r="K252" s="8">
        <v>375</v>
      </c>
      <c r="L252" s="10">
        <v>6.97</v>
      </c>
      <c r="M252" s="10">
        <v>6.97</v>
      </c>
      <c r="O252" s="14" t="str">
        <f t="shared" si="6"/>
        <v>Low</v>
      </c>
      <c r="P252" s="12" t="str">
        <f t="shared" si="7"/>
        <v>Poor</v>
      </c>
    </row>
    <row r="253" spans="1:16" x14ac:dyDescent="0.35">
      <c r="A253" s="8">
        <v>252</v>
      </c>
      <c r="B253" s="9">
        <v>44709</v>
      </c>
      <c r="C253" s="8" t="s">
        <v>279</v>
      </c>
      <c r="D253" s="8" t="s">
        <v>27</v>
      </c>
      <c r="E253" s="10">
        <v>9.94</v>
      </c>
      <c r="F253" s="8">
        <v>15</v>
      </c>
      <c r="G253" s="8">
        <v>1</v>
      </c>
      <c r="H253" s="8" t="s">
        <v>21</v>
      </c>
      <c r="I253" s="8" t="s">
        <v>18</v>
      </c>
      <c r="J253" s="8">
        <v>2.9</v>
      </c>
      <c r="K253" s="8">
        <v>107</v>
      </c>
      <c r="L253" s="10">
        <v>8.4499999999999993</v>
      </c>
      <c r="M253" s="10">
        <v>8.4499999999999993</v>
      </c>
      <c r="O253" s="14" t="str">
        <f t="shared" si="6"/>
        <v>Low</v>
      </c>
      <c r="P253" s="12" t="str">
        <f t="shared" si="7"/>
        <v>Poor</v>
      </c>
    </row>
    <row r="254" spans="1:16" x14ac:dyDescent="0.35">
      <c r="A254" s="8">
        <v>253</v>
      </c>
      <c r="B254" s="9">
        <v>45272</v>
      </c>
      <c r="C254" s="8" t="s">
        <v>280</v>
      </c>
      <c r="D254" s="8" t="s">
        <v>19</v>
      </c>
      <c r="E254" s="10">
        <v>387.56</v>
      </c>
      <c r="F254" s="8">
        <v>20</v>
      </c>
      <c r="G254" s="8">
        <v>3</v>
      </c>
      <c r="H254" s="8" t="s">
        <v>14</v>
      </c>
      <c r="I254" s="8" t="s">
        <v>18</v>
      </c>
      <c r="J254" s="8">
        <v>1.5</v>
      </c>
      <c r="K254" s="8">
        <v>472</v>
      </c>
      <c r="L254" s="10">
        <v>310.05</v>
      </c>
      <c r="M254" s="10">
        <v>930.15</v>
      </c>
      <c r="O254" s="14" t="str">
        <f t="shared" si="6"/>
        <v>Low</v>
      </c>
      <c r="P254" s="12" t="str">
        <f t="shared" si="7"/>
        <v>Poor</v>
      </c>
    </row>
    <row r="255" spans="1:16" x14ac:dyDescent="0.35">
      <c r="A255" s="8">
        <v>254</v>
      </c>
      <c r="B255" s="9">
        <v>45050</v>
      </c>
      <c r="C255" s="8" t="s">
        <v>281</v>
      </c>
      <c r="D255" s="8" t="s">
        <v>13</v>
      </c>
      <c r="E255" s="10">
        <v>473.46</v>
      </c>
      <c r="F255" s="8">
        <v>20</v>
      </c>
      <c r="G255" s="8">
        <v>5</v>
      </c>
      <c r="H255" s="8" t="s">
        <v>14</v>
      </c>
      <c r="I255" s="8" t="s">
        <v>15</v>
      </c>
      <c r="J255" s="8">
        <v>2.4</v>
      </c>
      <c r="K255" s="8">
        <v>290</v>
      </c>
      <c r="L255" s="10">
        <v>378.77</v>
      </c>
      <c r="M255" s="10">
        <v>1893.85</v>
      </c>
      <c r="O255" s="14" t="str">
        <f t="shared" si="6"/>
        <v>High</v>
      </c>
      <c r="P255" s="12" t="str">
        <f t="shared" si="7"/>
        <v>Poor</v>
      </c>
    </row>
    <row r="256" spans="1:16" x14ac:dyDescent="0.35">
      <c r="A256" s="8">
        <v>255</v>
      </c>
      <c r="B256" s="9">
        <v>45201</v>
      </c>
      <c r="C256" s="8" t="s">
        <v>282</v>
      </c>
      <c r="D256" s="8" t="s">
        <v>19</v>
      </c>
      <c r="E256" s="10">
        <v>118.65</v>
      </c>
      <c r="F256" s="8">
        <v>30</v>
      </c>
      <c r="G256" s="8">
        <v>4</v>
      </c>
      <c r="H256" s="8" t="s">
        <v>21</v>
      </c>
      <c r="I256" s="8" t="s">
        <v>24</v>
      </c>
      <c r="J256" s="8">
        <v>4.7</v>
      </c>
      <c r="K256" s="8">
        <v>110</v>
      </c>
      <c r="L256" s="10">
        <v>83.06</v>
      </c>
      <c r="M256" s="10">
        <v>332.24</v>
      </c>
      <c r="O256" s="14" t="str">
        <f t="shared" si="6"/>
        <v>Low</v>
      </c>
      <c r="P256" s="12" t="str">
        <f t="shared" si="7"/>
        <v>Excellent</v>
      </c>
    </row>
    <row r="257" spans="1:16" x14ac:dyDescent="0.35">
      <c r="A257" s="8">
        <v>256</v>
      </c>
      <c r="B257" s="9">
        <v>45112</v>
      </c>
      <c r="C257" s="8" t="s">
        <v>283</v>
      </c>
      <c r="D257" s="8" t="s">
        <v>27</v>
      </c>
      <c r="E257" s="10">
        <v>274.44</v>
      </c>
      <c r="F257" s="8">
        <v>5</v>
      </c>
      <c r="G257" s="8">
        <v>2</v>
      </c>
      <c r="H257" s="8" t="s">
        <v>21</v>
      </c>
      <c r="I257" s="8" t="s">
        <v>24</v>
      </c>
      <c r="J257" s="8">
        <v>1.4</v>
      </c>
      <c r="K257" s="8">
        <v>258</v>
      </c>
      <c r="L257" s="10">
        <v>260.72000000000003</v>
      </c>
      <c r="M257" s="10">
        <v>521.44000000000005</v>
      </c>
      <c r="O257" s="14" t="str">
        <f t="shared" si="6"/>
        <v>Low</v>
      </c>
      <c r="P257" s="12" t="str">
        <f t="shared" si="7"/>
        <v>Poor</v>
      </c>
    </row>
    <row r="258" spans="1:16" x14ac:dyDescent="0.35">
      <c r="A258" s="8">
        <v>257</v>
      </c>
      <c r="B258" s="9">
        <v>44899</v>
      </c>
      <c r="C258" s="8" t="s">
        <v>284</v>
      </c>
      <c r="D258" s="8" t="s">
        <v>16</v>
      </c>
      <c r="E258" s="10">
        <v>156.49</v>
      </c>
      <c r="F258" s="8">
        <v>10</v>
      </c>
      <c r="G258" s="8">
        <v>5</v>
      </c>
      <c r="H258" s="8" t="s">
        <v>20</v>
      </c>
      <c r="I258" s="8" t="s">
        <v>18</v>
      </c>
      <c r="J258" s="8">
        <v>3.2</v>
      </c>
      <c r="K258" s="8">
        <v>438</v>
      </c>
      <c r="L258" s="10">
        <v>140.84</v>
      </c>
      <c r="M258" s="10">
        <v>704.2</v>
      </c>
      <c r="O258" s="14" t="str">
        <f t="shared" si="6"/>
        <v>Low</v>
      </c>
      <c r="P258" s="12" t="str">
        <f t="shared" si="7"/>
        <v>Good</v>
      </c>
    </row>
    <row r="259" spans="1:16" x14ac:dyDescent="0.35">
      <c r="A259" s="8">
        <v>258</v>
      </c>
      <c r="B259" s="9">
        <v>45202</v>
      </c>
      <c r="C259" s="8" t="s">
        <v>285</v>
      </c>
      <c r="D259" s="8" t="s">
        <v>27</v>
      </c>
      <c r="E259" s="10">
        <v>241.38</v>
      </c>
      <c r="F259" s="8">
        <v>10</v>
      </c>
      <c r="G259" s="8">
        <v>1</v>
      </c>
      <c r="H259" s="8" t="s">
        <v>21</v>
      </c>
      <c r="I259" s="8" t="s">
        <v>15</v>
      </c>
      <c r="J259" s="8">
        <v>3.6</v>
      </c>
      <c r="K259" s="8">
        <v>418</v>
      </c>
      <c r="L259" s="10">
        <v>217.24</v>
      </c>
      <c r="M259" s="10">
        <v>217.24</v>
      </c>
      <c r="O259" s="14" t="str">
        <f t="shared" ref="O259:O322" si="8">IF(M259 &gt; 1000, "High", "Low")</f>
        <v>Low</v>
      </c>
      <c r="P259" s="12" t="str">
        <f t="shared" ref="P259:P322" si="9">IF(J259 &gt;= 4.5, "Excellent", IF(J259 &gt;= 3, "Good", "Poor"))</f>
        <v>Good</v>
      </c>
    </row>
    <row r="260" spans="1:16" x14ac:dyDescent="0.35">
      <c r="A260" s="8">
        <v>259</v>
      </c>
      <c r="B260" s="9">
        <v>45034</v>
      </c>
      <c r="C260" s="8" t="s">
        <v>286</v>
      </c>
      <c r="D260" s="8" t="s">
        <v>16</v>
      </c>
      <c r="E260" s="10">
        <v>63.48</v>
      </c>
      <c r="F260" s="8">
        <v>5</v>
      </c>
      <c r="G260" s="8">
        <v>5</v>
      </c>
      <c r="H260" s="8" t="s">
        <v>17</v>
      </c>
      <c r="I260" s="8" t="s">
        <v>23</v>
      </c>
      <c r="J260" s="8">
        <v>3.3</v>
      </c>
      <c r="K260" s="8">
        <v>409</v>
      </c>
      <c r="L260" s="10">
        <v>60.31</v>
      </c>
      <c r="M260" s="10">
        <v>301.55</v>
      </c>
      <c r="O260" s="14" t="str">
        <f t="shared" si="8"/>
        <v>Low</v>
      </c>
      <c r="P260" s="12" t="str">
        <f t="shared" si="9"/>
        <v>Good</v>
      </c>
    </row>
    <row r="261" spans="1:16" x14ac:dyDescent="0.35">
      <c r="A261" s="8">
        <v>260</v>
      </c>
      <c r="B261" s="9">
        <v>44712</v>
      </c>
      <c r="C261" s="8" t="s">
        <v>287</v>
      </c>
      <c r="D261" s="8" t="s">
        <v>22</v>
      </c>
      <c r="E261" s="10">
        <v>364.08</v>
      </c>
      <c r="F261" s="8">
        <v>5</v>
      </c>
      <c r="G261" s="8">
        <v>5</v>
      </c>
      <c r="H261" s="8" t="s">
        <v>14</v>
      </c>
      <c r="I261" s="8" t="s">
        <v>18</v>
      </c>
      <c r="J261" s="8">
        <v>3.5</v>
      </c>
      <c r="K261" s="8">
        <v>226</v>
      </c>
      <c r="L261" s="10">
        <v>345.88</v>
      </c>
      <c r="M261" s="10">
        <v>1729.4</v>
      </c>
      <c r="O261" s="14" t="str">
        <f t="shared" si="8"/>
        <v>High</v>
      </c>
      <c r="P261" s="12" t="str">
        <f t="shared" si="9"/>
        <v>Good</v>
      </c>
    </row>
    <row r="262" spans="1:16" x14ac:dyDescent="0.35">
      <c r="A262" s="8">
        <v>261</v>
      </c>
      <c r="B262" s="9">
        <v>44976</v>
      </c>
      <c r="C262" s="8" t="s">
        <v>288</v>
      </c>
      <c r="D262" s="8" t="s">
        <v>19</v>
      </c>
      <c r="E262" s="10">
        <v>260.55</v>
      </c>
      <c r="F262" s="8">
        <v>20</v>
      </c>
      <c r="G262" s="8">
        <v>2</v>
      </c>
      <c r="H262" s="8" t="s">
        <v>17</v>
      </c>
      <c r="I262" s="8" t="s">
        <v>26</v>
      </c>
      <c r="J262" s="8">
        <v>1.5</v>
      </c>
      <c r="K262" s="8">
        <v>174</v>
      </c>
      <c r="L262" s="10">
        <v>208.44</v>
      </c>
      <c r="M262" s="10">
        <v>416.88</v>
      </c>
      <c r="O262" s="14" t="str">
        <f t="shared" si="8"/>
        <v>Low</v>
      </c>
      <c r="P262" s="12" t="str">
        <f t="shared" si="9"/>
        <v>Poor</v>
      </c>
    </row>
    <row r="263" spans="1:16" x14ac:dyDescent="0.35">
      <c r="A263" s="8">
        <v>262</v>
      </c>
      <c r="B263" s="9">
        <v>44859</v>
      </c>
      <c r="C263" s="8" t="s">
        <v>289</v>
      </c>
      <c r="D263" s="8" t="s">
        <v>22</v>
      </c>
      <c r="E263" s="10">
        <v>157.82</v>
      </c>
      <c r="F263" s="8">
        <v>0</v>
      </c>
      <c r="G263" s="8">
        <v>5</v>
      </c>
      <c r="H263" s="8" t="s">
        <v>14</v>
      </c>
      <c r="I263" s="8" t="s">
        <v>26</v>
      </c>
      <c r="J263" s="8">
        <v>1.1000000000000001</v>
      </c>
      <c r="K263" s="8">
        <v>109</v>
      </c>
      <c r="L263" s="10">
        <v>157.82</v>
      </c>
      <c r="M263" s="10">
        <v>789.1</v>
      </c>
      <c r="O263" s="14" t="str">
        <f t="shared" si="8"/>
        <v>Low</v>
      </c>
      <c r="P263" s="12" t="str">
        <f t="shared" si="9"/>
        <v>Poor</v>
      </c>
    </row>
    <row r="264" spans="1:16" x14ac:dyDescent="0.35">
      <c r="A264" s="8">
        <v>263</v>
      </c>
      <c r="B264" s="9">
        <v>45172</v>
      </c>
      <c r="C264" s="8" t="s">
        <v>290</v>
      </c>
      <c r="D264" s="8" t="s">
        <v>13</v>
      </c>
      <c r="E264" s="10">
        <v>333.47</v>
      </c>
      <c r="F264" s="8">
        <v>20</v>
      </c>
      <c r="G264" s="8">
        <v>5</v>
      </c>
      <c r="H264" s="8" t="s">
        <v>17</v>
      </c>
      <c r="I264" s="8" t="s">
        <v>26</v>
      </c>
      <c r="J264" s="8">
        <v>4.0999999999999996</v>
      </c>
      <c r="K264" s="8">
        <v>123</v>
      </c>
      <c r="L264" s="10">
        <v>266.77999999999997</v>
      </c>
      <c r="M264" s="10">
        <v>1333.9</v>
      </c>
      <c r="O264" s="14" t="str">
        <f t="shared" si="8"/>
        <v>High</v>
      </c>
      <c r="P264" s="12" t="str">
        <f t="shared" si="9"/>
        <v>Good</v>
      </c>
    </row>
    <row r="265" spans="1:16" x14ac:dyDescent="0.35">
      <c r="A265" s="8">
        <v>264</v>
      </c>
      <c r="B265" s="9">
        <v>44824</v>
      </c>
      <c r="C265" s="8" t="s">
        <v>291</v>
      </c>
      <c r="D265" s="8" t="s">
        <v>25</v>
      </c>
      <c r="E265" s="10">
        <v>258.07</v>
      </c>
      <c r="F265" s="8">
        <v>10</v>
      </c>
      <c r="G265" s="8">
        <v>2</v>
      </c>
      <c r="H265" s="8" t="s">
        <v>17</v>
      </c>
      <c r="I265" s="8" t="s">
        <v>18</v>
      </c>
      <c r="J265" s="8">
        <v>2.2999999999999998</v>
      </c>
      <c r="K265" s="8">
        <v>237</v>
      </c>
      <c r="L265" s="10">
        <v>232.26</v>
      </c>
      <c r="M265" s="10">
        <v>464.52</v>
      </c>
      <c r="O265" s="14" t="str">
        <f t="shared" si="8"/>
        <v>Low</v>
      </c>
      <c r="P265" s="12" t="str">
        <f t="shared" si="9"/>
        <v>Poor</v>
      </c>
    </row>
    <row r="266" spans="1:16" x14ac:dyDescent="0.35">
      <c r="A266" s="8">
        <v>265</v>
      </c>
      <c r="B266" s="9">
        <v>44705</v>
      </c>
      <c r="C266" s="8" t="s">
        <v>292</v>
      </c>
      <c r="D266" s="8" t="s">
        <v>19</v>
      </c>
      <c r="E266" s="10">
        <v>205.12</v>
      </c>
      <c r="F266" s="8">
        <v>10</v>
      </c>
      <c r="G266" s="8">
        <v>4</v>
      </c>
      <c r="H266" s="8" t="s">
        <v>21</v>
      </c>
      <c r="I266" s="8" t="s">
        <v>23</v>
      </c>
      <c r="J266" s="8">
        <v>2.8</v>
      </c>
      <c r="K266" s="8">
        <v>305</v>
      </c>
      <c r="L266" s="10">
        <v>184.61</v>
      </c>
      <c r="M266" s="10">
        <v>738.44</v>
      </c>
      <c r="O266" s="14" t="str">
        <f t="shared" si="8"/>
        <v>Low</v>
      </c>
      <c r="P266" s="12" t="str">
        <f t="shared" si="9"/>
        <v>Poor</v>
      </c>
    </row>
    <row r="267" spans="1:16" x14ac:dyDescent="0.35">
      <c r="A267" s="8">
        <v>266</v>
      </c>
      <c r="B267" s="9">
        <v>44907</v>
      </c>
      <c r="C267" s="8" t="s">
        <v>293</v>
      </c>
      <c r="D267" s="8" t="s">
        <v>22</v>
      </c>
      <c r="E267" s="10">
        <v>268.93</v>
      </c>
      <c r="F267" s="8">
        <v>5</v>
      </c>
      <c r="G267" s="8">
        <v>1</v>
      </c>
      <c r="H267" s="8" t="s">
        <v>21</v>
      </c>
      <c r="I267" s="8" t="s">
        <v>26</v>
      </c>
      <c r="J267" s="8">
        <v>4.5999999999999996</v>
      </c>
      <c r="K267" s="8">
        <v>457</v>
      </c>
      <c r="L267" s="10">
        <v>255.48</v>
      </c>
      <c r="M267" s="10">
        <v>255.48</v>
      </c>
      <c r="O267" s="14" t="str">
        <f t="shared" si="8"/>
        <v>Low</v>
      </c>
      <c r="P267" s="12" t="str">
        <f t="shared" si="9"/>
        <v>Excellent</v>
      </c>
    </row>
    <row r="268" spans="1:16" x14ac:dyDescent="0.35">
      <c r="A268" s="8">
        <v>267</v>
      </c>
      <c r="B268" s="9">
        <v>45185</v>
      </c>
      <c r="C268" s="8" t="s">
        <v>294</v>
      </c>
      <c r="D268" s="8" t="s">
        <v>19</v>
      </c>
      <c r="E268" s="10">
        <v>477.07</v>
      </c>
      <c r="F268" s="8">
        <v>20</v>
      </c>
      <c r="G268" s="8">
        <v>2</v>
      </c>
      <c r="H268" s="8" t="s">
        <v>20</v>
      </c>
      <c r="I268" s="8" t="s">
        <v>23</v>
      </c>
      <c r="J268" s="8">
        <v>4.4000000000000004</v>
      </c>
      <c r="K268" s="8">
        <v>345</v>
      </c>
      <c r="L268" s="10">
        <v>381.66</v>
      </c>
      <c r="M268" s="10">
        <v>763.32</v>
      </c>
      <c r="O268" s="14" t="str">
        <f t="shared" si="8"/>
        <v>Low</v>
      </c>
      <c r="P268" s="12" t="str">
        <f t="shared" si="9"/>
        <v>Good</v>
      </c>
    </row>
    <row r="269" spans="1:16" x14ac:dyDescent="0.35">
      <c r="A269" s="8">
        <v>268</v>
      </c>
      <c r="B269" s="9">
        <v>45133</v>
      </c>
      <c r="C269" s="8" t="s">
        <v>295</v>
      </c>
      <c r="D269" s="8" t="s">
        <v>25</v>
      </c>
      <c r="E269" s="10">
        <v>39.29</v>
      </c>
      <c r="F269" s="8">
        <v>5</v>
      </c>
      <c r="G269" s="8">
        <v>2</v>
      </c>
      <c r="H269" s="8" t="s">
        <v>17</v>
      </c>
      <c r="I269" s="8" t="s">
        <v>24</v>
      </c>
      <c r="J269" s="8">
        <v>3.6</v>
      </c>
      <c r="K269" s="8">
        <v>60</v>
      </c>
      <c r="L269" s="10">
        <v>37.33</v>
      </c>
      <c r="M269" s="10">
        <v>74.66</v>
      </c>
      <c r="O269" s="14" t="str">
        <f t="shared" si="8"/>
        <v>Low</v>
      </c>
      <c r="P269" s="12" t="str">
        <f t="shared" si="9"/>
        <v>Good</v>
      </c>
    </row>
    <row r="270" spans="1:16" x14ac:dyDescent="0.35">
      <c r="A270" s="8">
        <v>269</v>
      </c>
      <c r="B270" s="9">
        <v>44563</v>
      </c>
      <c r="C270" s="8" t="s">
        <v>296</v>
      </c>
      <c r="D270" s="8" t="s">
        <v>16</v>
      </c>
      <c r="E270" s="10">
        <v>462.37</v>
      </c>
      <c r="F270" s="8">
        <v>20</v>
      </c>
      <c r="G270" s="8">
        <v>1</v>
      </c>
      <c r="H270" s="8" t="s">
        <v>14</v>
      </c>
      <c r="I270" s="8" t="s">
        <v>15</v>
      </c>
      <c r="J270" s="8">
        <v>2.5</v>
      </c>
      <c r="K270" s="8">
        <v>444</v>
      </c>
      <c r="L270" s="10">
        <v>369.9</v>
      </c>
      <c r="M270" s="10">
        <v>369.9</v>
      </c>
      <c r="O270" s="14" t="str">
        <f t="shared" si="8"/>
        <v>Low</v>
      </c>
      <c r="P270" s="12" t="str">
        <f t="shared" si="9"/>
        <v>Poor</v>
      </c>
    </row>
    <row r="271" spans="1:16" x14ac:dyDescent="0.35">
      <c r="A271" s="8">
        <v>270</v>
      </c>
      <c r="B271" s="9">
        <v>44865</v>
      </c>
      <c r="C271" s="8" t="s">
        <v>297</v>
      </c>
      <c r="D271" s="8" t="s">
        <v>19</v>
      </c>
      <c r="E271" s="10">
        <v>67.53</v>
      </c>
      <c r="F271" s="8">
        <v>15</v>
      </c>
      <c r="G271" s="8">
        <v>5</v>
      </c>
      <c r="H271" s="8" t="s">
        <v>21</v>
      </c>
      <c r="I271" s="8" t="s">
        <v>23</v>
      </c>
      <c r="J271" s="8">
        <v>2.2999999999999998</v>
      </c>
      <c r="K271" s="8">
        <v>139</v>
      </c>
      <c r="L271" s="10">
        <v>57.4</v>
      </c>
      <c r="M271" s="10">
        <v>287</v>
      </c>
      <c r="O271" s="14" t="str">
        <f t="shared" si="8"/>
        <v>Low</v>
      </c>
      <c r="P271" s="12" t="str">
        <f t="shared" si="9"/>
        <v>Poor</v>
      </c>
    </row>
    <row r="272" spans="1:16" x14ac:dyDescent="0.35">
      <c r="A272" s="8">
        <v>271</v>
      </c>
      <c r="B272" s="9">
        <v>44815</v>
      </c>
      <c r="C272" s="8" t="s">
        <v>298</v>
      </c>
      <c r="D272" s="8" t="s">
        <v>25</v>
      </c>
      <c r="E272" s="10">
        <v>107.15</v>
      </c>
      <c r="F272" s="8">
        <v>20</v>
      </c>
      <c r="G272" s="8">
        <v>4</v>
      </c>
      <c r="H272" s="8" t="s">
        <v>17</v>
      </c>
      <c r="I272" s="8" t="s">
        <v>26</v>
      </c>
      <c r="J272" s="8">
        <v>3</v>
      </c>
      <c r="K272" s="8">
        <v>432</v>
      </c>
      <c r="L272" s="10">
        <v>85.72</v>
      </c>
      <c r="M272" s="10">
        <v>342.88</v>
      </c>
      <c r="O272" s="14" t="str">
        <f t="shared" si="8"/>
        <v>Low</v>
      </c>
      <c r="P272" s="12" t="str">
        <f t="shared" si="9"/>
        <v>Good</v>
      </c>
    </row>
    <row r="273" spans="1:16" x14ac:dyDescent="0.35">
      <c r="A273" s="8">
        <v>272</v>
      </c>
      <c r="B273" s="9">
        <v>45213</v>
      </c>
      <c r="C273" s="8" t="s">
        <v>299</v>
      </c>
      <c r="D273" s="8" t="s">
        <v>27</v>
      </c>
      <c r="E273" s="10">
        <v>489.69</v>
      </c>
      <c r="F273" s="8">
        <v>15</v>
      </c>
      <c r="G273" s="8">
        <v>3</v>
      </c>
      <c r="H273" s="8" t="s">
        <v>17</v>
      </c>
      <c r="I273" s="8" t="s">
        <v>18</v>
      </c>
      <c r="J273" s="8">
        <v>1.5</v>
      </c>
      <c r="K273" s="8">
        <v>86</v>
      </c>
      <c r="L273" s="10">
        <v>416.24</v>
      </c>
      <c r="M273" s="10">
        <v>1248.72</v>
      </c>
      <c r="O273" s="14" t="str">
        <f t="shared" si="8"/>
        <v>High</v>
      </c>
      <c r="P273" s="12" t="str">
        <f t="shared" si="9"/>
        <v>Poor</v>
      </c>
    </row>
    <row r="274" spans="1:16" x14ac:dyDescent="0.35">
      <c r="A274" s="8">
        <v>273</v>
      </c>
      <c r="B274" s="9">
        <v>45014</v>
      </c>
      <c r="C274" s="8" t="s">
        <v>300</v>
      </c>
      <c r="D274" s="8" t="s">
        <v>16</v>
      </c>
      <c r="E274" s="10">
        <v>405.97</v>
      </c>
      <c r="F274" s="8">
        <v>30</v>
      </c>
      <c r="G274" s="8">
        <v>3</v>
      </c>
      <c r="H274" s="8" t="s">
        <v>14</v>
      </c>
      <c r="I274" s="8" t="s">
        <v>18</v>
      </c>
      <c r="J274" s="8">
        <v>3.4</v>
      </c>
      <c r="K274" s="8">
        <v>97</v>
      </c>
      <c r="L274" s="10">
        <v>284.18</v>
      </c>
      <c r="M274" s="10">
        <v>852.54</v>
      </c>
      <c r="O274" s="14" t="str">
        <f t="shared" si="8"/>
        <v>Low</v>
      </c>
      <c r="P274" s="12" t="str">
        <f t="shared" si="9"/>
        <v>Good</v>
      </c>
    </row>
    <row r="275" spans="1:16" x14ac:dyDescent="0.35">
      <c r="A275" s="8">
        <v>274</v>
      </c>
      <c r="B275" s="9">
        <v>44598</v>
      </c>
      <c r="C275" s="8" t="s">
        <v>301</v>
      </c>
      <c r="D275" s="8" t="s">
        <v>27</v>
      </c>
      <c r="E275" s="10">
        <v>179.1</v>
      </c>
      <c r="F275" s="8">
        <v>20</v>
      </c>
      <c r="G275" s="8">
        <v>5</v>
      </c>
      <c r="H275" s="8" t="s">
        <v>14</v>
      </c>
      <c r="I275" s="8" t="s">
        <v>26</v>
      </c>
      <c r="J275" s="8">
        <v>4.4000000000000004</v>
      </c>
      <c r="K275" s="8">
        <v>464</v>
      </c>
      <c r="L275" s="10">
        <v>143.28</v>
      </c>
      <c r="M275" s="10">
        <v>716.4</v>
      </c>
      <c r="O275" s="14" t="str">
        <f t="shared" si="8"/>
        <v>Low</v>
      </c>
      <c r="P275" s="12" t="str">
        <f t="shared" si="9"/>
        <v>Good</v>
      </c>
    </row>
    <row r="276" spans="1:16" x14ac:dyDescent="0.35">
      <c r="A276" s="8">
        <v>275</v>
      </c>
      <c r="B276" s="9">
        <v>44721</v>
      </c>
      <c r="C276" s="8" t="s">
        <v>302</v>
      </c>
      <c r="D276" s="8" t="s">
        <v>25</v>
      </c>
      <c r="E276" s="10">
        <v>205.34</v>
      </c>
      <c r="F276" s="8">
        <v>0</v>
      </c>
      <c r="G276" s="8">
        <v>4</v>
      </c>
      <c r="H276" s="8" t="s">
        <v>21</v>
      </c>
      <c r="I276" s="8" t="s">
        <v>24</v>
      </c>
      <c r="J276" s="8">
        <v>4.2</v>
      </c>
      <c r="K276" s="8">
        <v>299</v>
      </c>
      <c r="L276" s="10">
        <v>205.34</v>
      </c>
      <c r="M276" s="10">
        <v>821.36</v>
      </c>
      <c r="O276" s="14" t="str">
        <f t="shared" si="8"/>
        <v>Low</v>
      </c>
      <c r="P276" s="12" t="str">
        <f t="shared" si="9"/>
        <v>Good</v>
      </c>
    </row>
    <row r="277" spans="1:16" x14ac:dyDescent="0.35">
      <c r="A277" s="8">
        <v>276</v>
      </c>
      <c r="B277" s="9">
        <v>44570</v>
      </c>
      <c r="C277" s="8" t="s">
        <v>303</v>
      </c>
      <c r="D277" s="8" t="s">
        <v>27</v>
      </c>
      <c r="E277" s="10">
        <v>153.06</v>
      </c>
      <c r="F277" s="8">
        <v>10</v>
      </c>
      <c r="G277" s="8">
        <v>1</v>
      </c>
      <c r="H277" s="8" t="s">
        <v>21</v>
      </c>
      <c r="I277" s="8" t="s">
        <v>26</v>
      </c>
      <c r="J277" s="8">
        <v>3.1</v>
      </c>
      <c r="K277" s="8">
        <v>252</v>
      </c>
      <c r="L277" s="10">
        <v>137.75</v>
      </c>
      <c r="M277" s="10">
        <v>137.75</v>
      </c>
      <c r="O277" s="14" t="str">
        <f t="shared" si="8"/>
        <v>Low</v>
      </c>
      <c r="P277" s="12" t="str">
        <f t="shared" si="9"/>
        <v>Good</v>
      </c>
    </row>
    <row r="278" spans="1:16" x14ac:dyDescent="0.35">
      <c r="A278" s="8">
        <v>277</v>
      </c>
      <c r="B278" s="9">
        <v>44794</v>
      </c>
      <c r="C278" s="8" t="s">
        <v>304</v>
      </c>
      <c r="D278" s="8" t="s">
        <v>16</v>
      </c>
      <c r="E278" s="10">
        <v>116.46</v>
      </c>
      <c r="F278" s="8">
        <v>5</v>
      </c>
      <c r="G278" s="8">
        <v>5</v>
      </c>
      <c r="H278" s="8" t="s">
        <v>17</v>
      </c>
      <c r="I278" s="8" t="s">
        <v>18</v>
      </c>
      <c r="J278" s="8">
        <v>3.5</v>
      </c>
      <c r="K278" s="8">
        <v>173</v>
      </c>
      <c r="L278" s="10">
        <v>110.64</v>
      </c>
      <c r="M278" s="10">
        <v>553.20000000000005</v>
      </c>
      <c r="O278" s="14" t="str">
        <f t="shared" si="8"/>
        <v>Low</v>
      </c>
      <c r="P278" s="12" t="str">
        <f t="shared" si="9"/>
        <v>Good</v>
      </c>
    </row>
    <row r="279" spans="1:16" x14ac:dyDescent="0.35">
      <c r="A279" s="8">
        <v>278</v>
      </c>
      <c r="B279" s="9">
        <v>44660</v>
      </c>
      <c r="C279" s="8" t="s">
        <v>305</v>
      </c>
      <c r="D279" s="8" t="s">
        <v>19</v>
      </c>
      <c r="E279" s="10">
        <v>35.130000000000003</v>
      </c>
      <c r="F279" s="8">
        <v>0</v>
      </c>
      <c r="G279" s="8">
        <v>3</v>
      </c>
      <c r="H279" s="8" t="s">
        <v>17</v>
      </c>
      <c r="I279" s="8" t="s">
        <v>26</v>
      </c>
      <c r="J279" s="8">
        <v>2.1</v>
      </c>
      <c r="K279" s="8">
        <v>484</v>
      </c>
      <c r="L279" s="10">
        <v>35.130000000000003</v>
      </c>
      <c r="M279" s="10">
        <v>105.39</v>
      </c>
      <c r="O279" s="14" t="str">
        <f t="shared" si="8"/>
        <v>Low</v>
      </c>
      <c r="P279" s="12" t="str">
        <f t="shared" si="9"/>
        <v>Poor</v>
      </c>
    </row>
    <row r="280" spans="1:16" x14ac:dyDescent="0.35">
      <c r="A280" s="8">
        <v>279</v>
      </c>
      <c r="B280" s="9">
        <v>45220</v>
      </c>
      <c r="C280" s="8" t="s">
        <v>306</v>
      </c>
      <c r="D280" s="8" t="s">
        <v>27</v>
      </c>
      <c r="E280" s="10">
        <v>21.67</v>
      </c>
      <c r="F280" s="8">
        <v>10</v>
      </c>
      <c r="G280" s="8">
        <v>5</v>
      </c>
      <c r="H280" s="8" t="s">
        <v>17</v>
      </c>
      <c r="I280" s="8" t="s">
        <v>26</v>
      </c>
      <c r="J280" s="8">
        <v>4.2</v>
      </c>
      <c r="K280" s="8">
        <v>460</v>
      </c>
      <c r="L280" s="10">
        <v>19.5</v>
      </c>
      <c r="M280" s="10">
        <v>97.5</v>
      </c>
      <c r="O280" s="14" t="str">
        <f t="shared" si="8"/>
        <v>Low</v>
      </c>
      <c r="P280" s="12" t="str">
        <f t="shared" si="9"/>
        <v>Good</v>
      </c>
    </row>
    <row r="281" spans="1:16" x14ac:dyDescent="0.35">
      <c r="A281" s="8">
        <v>280</v>
      </c>
      <c r="B281" s="9">
        <v>44769</v>
      </c>
      <c r="C281" s="8" t="s">
        <v>307</v>
      </c>
      <c r="D281" s="8" t="s">
        <v>25</v>
      </c>
      <c r="E281" s="10">
        <v>253.29</v>
      </c>
      <c r="F281" s="8">
        <v>15</v>
      </c>
      <c r="G281" s="8">
        <v>1</v>
      </c>
      <c r="H281" s="8" t="s">
        <v>14</v>
      </c>
      <c r="I281" s="8" t="s">
        <v>15</v>
      </c>
      <c r="J281" s="8">
        <v>1.8</v>
      </c>
      <c r="K281" s="8">
        <v>268</v>
      </c>
      <c r="L281" s="10">
        <v>215.3</v>
      </c>
      <c r="M281" s="10">
        <v>215.3</v>
      </c>
      <c r="O281" s="14" t="str">
        <f t="shared" si="8"/>
        <v>Low</v>
      </c>
      <c r="P281" s="12" t="str">
        <f t="shared" si="9"/>
        <v>Poor</v>
      </c>
    </row>
    <row r="282" spans="1:16" x14ac:dyDescent="0.35">
      <c r="A282" s="8">
        <v>281</v>
      </c>
      <c r="B282" s="9">
        <v>44692</v>
      </c>
      <c r="C282" s="8" t="s">
        <v>308</v>
      </c>
      <c r="D282" s="8" t="s">
        <v>27</v>
      </c>
      <c r="E282" s="10">
        <v>267.39999999999998</v>
      </c>
      <c r="F282" s="8">
        <v>5</v>
      </c>
      <c r="G282" s="8">
        <v>5</v>
      </c>
      <c r="H282" s="8" t="s">
        <v>17</v>
      </c>
      <c r="I282" s="8" t="s">
        <v>15</v>
      </c>
      <c r="J282" s="8">
        <v>4.0999999999999996</v>
      </c>
      <c r="K282" s="8">
        <v>76</v>
      </c>
      <c r="L282" s="10">
        <v>254.03</v>
      </c>
      <c r="M282" s="10">
        <v>1270.1500000000001</v>
      </c>
      <c r="O282" s="14" t="str">
        <f t="shared" si="8"/>
        <v>High</v>
      </c>
      <c r="P282" s="12" t="str">
        <f t="shared" si="9"/>
        <v>Good</v>
      </c>
    </row>
    <row r="283" spans="1:16" x14ac:dyDescent="0.35">
      <c r="A283" s="8">
        <v>282</v>
      </c>
      <c r="B283" s="9">
        <v>44965</v>
      </c>
      <c r="C283" s="8" t="s">
        <v>309</v>
      </c>
      <c r="D283" s="8" t="s">
        <v>27</v>
      </c>
      <c r="E283" s="10">
        <v>381.97</v>
      </c>
      <c r="F283" s="8">
        <v>10</v>
      </c>
      <c r="G283" s="8">
        <v>5</v>
      </c>
      <c r="H283" s="8" t="s">
        <v>14</v>
      </c>
      <c r="I283" s="8" t="s">
        <v>24</v>
      </c>
      <c r="J283" s="8">
        <v>2.9</v>
      </c>
      <c r="K283" s="8">
        <v>202</v>
      </c>
      <c r="L283" s="10">
        <v>343.77</v>
      </c>
      <c r="M283" s="10">
        <v>1718.85</v>
      </c>
      <c r="O283" s="14" t="str">
        <f t="shared" si="8"/>
        <v>High</v>
      </c>
      <c r="P283" s="12" t="str">
        <f t="shared" si="9"/>
        <v>Poor</v>
      </c>
    </row>
    <row r="284" spans="1:16" x14ac:dyDescent="0.35">
      <c r="A284" s="8">
        <v>283</v>
      </c>
      <c r="B284" s="9">
        <v>44713</v>
      </c>
      <c r="C284" s="8" t="s">
        <v>310</v>
      </c>
      <c r="D284" s="8" t="s">
        <v>13</v>
      </c>
      <c r="E284" s="10">
        <v>52.09</v>
      </c>
      <c r="F284" s="8">
        <v>5</v>
      </c>
      <c r="G284" s="8">
        <v>1</v>
      </c>
      <c r="H284" s="8" t="s">
        <v>21</v>
      </c>
      <c r="I284" s="8" t="s">
        <v>26</v>
      </c>
      <c r="J284" s="8">
        <v>3.1</v>
      </c>
      <c r="K284" s="8">
        <v>112</v>
      </c>
      <c r="L284" s="10">
        <v>49.49</v>
      </c>
      <c r="M284" s="10">
        <v>49.49</v>
      </c>
      <c r="O284" s="14" t="str">
        <f t="shared" si="8"/>
        <v>Low</v>
      </c>
      <c r="P284" s="12" t="str">
        <f t="shared" si="9"/>
        <v>Good</v>
      </c>
    </row>
    <row r="285" spans="1:16" x14ac:dyDescent="0.35">
      <c r="A285" s="8">
        <v>284</v>
      </c>
      <c r="B285" s="9">
        <v>44615</v>
      </c>
      <c r="C285" s="8" t="s">
        <v>311</v>
      </c>
      <c r="D285" s="8" t="s">
        <v>16</v>
      </c>
      <c r="E285" s="10">
        <v>259.77999999999997</v>
      </c>
      <c r="F285" s="8">
        <v>0</v>
      </c>
      <c r="G285" s="8">
        <v>2</v>
      </c>
      <c r="H285" s="8" t="s">
        <v>14</v>
      </c>
      <c r="I285" s="8" t="s">
        <v>26</v>
      </c>
      <c r="J285" s="8">
        <v>4.0999999999999996</v>
      </c>
      <c r="K285" s="8">
        <v>127</v>
      </c>
      <c r="L285" s="10">
        <v>259.77999999999997</v>
      </c>
      <c r="M285" s="10">
        <v>519.55999999999995</v>
      </c>
      <c r="O285" s="14" t="str">
        <f t="shared" si="8"/>
        <v>Low</v>
      </c>
      <c r="P285" s="12" t="str">
        <f t="shared" si="9"/>
        <v>Good</v>
      </c>
    </row>
    <row r="286" spans="1:16" x14ac:dyDescent="0.35">
      <c r="A286" s="8">
        <v>285</v>
      </c>
      <c r="B286" s="9">
        <v>44681</v>
      </c>
      <c r="C286" s="8" t="s">
        <v>312</v>
      </c>
      <c r="D286" s="8" t="s">
        <v>13</v>
      </c>
      <c r="E286" s="10">
        <v>462.61</v>
      </c>
      <c r="F286" s="8">
        <v>30</v>
      </c>
      <c r="G286" s="8">
        <v>1</v>
      </c>
      <c r="H286" s="8" t="s">
        <v>14</v>
      </c>
      <c r="I286" s="8" t="s">
        <v>15</v>
      </c>
      <c r="J286" s="8">
        <v>4.2</v>
      </c>
      <c r="K286" s="8">
        <v>229</v>
      </c>
      <c r="L286" s="10">
        <v>323.83</v>
      </c>
      <c r="M286" s="10">
        <v>323.83</v>
      </c>
      <c r="O286" s="14" t="str">
        <f t="shared" si="8"/>
        <v>Low</v>
      </c>
      <c r="P286" s="12" t="str">
        <f t="shared" si="9"/>
        <v>Good</v>
      </c>
    </row>
    <row r="287" spans="1:16" x14ac:dyDescent="0.35">
      <c r="A287" s="8">
        <v>286</v>
      </c>
      <c r="B287" s="9">
        <v>45234</v>
      </c>
      <c r="C287" s="8" t="s">
        <v>313</v>
      </c>
      <c r="D287" s="8" t="s">
        <v>25</v>
      </c>
      <c r="E287" s="10">
        <v>427.07</v>
      </c>
      <c r="F287" s="8">
        <v>10</v>
      </c>
      <c r="G287" s="8">
        <v>4</v>
      </c>
      <c r="H287" s="8" t="s">
        <v>20</v>
      </c>
      <c r="I287" s="8" t="s">
        <v>15</v>
      </c>
      <c r="J287" s="8">
        <v>2.7</v>
      </c>
      <c r="K287" s="8">
        <v>328</v>
      </c>
      <c r="L287" s="10">
        <v>384.36</v>
      </c>
      <c r="M287" s="10">
        <v>1537.44</v>
      </c>
      <c r="O287" s="14" t="str">
        <f t="shared" si="8"/>
        <v>High</v>
      </c>
      <c r="P287" s="12" t="str">
        <f t="shared" si="9"/>
        <v>Poor</v>
      </c>
    </row>
    <row r="288" spans="1:16" x14ac:dyDescent="0.35">
      <c r="A288" s="8">
        <v>287</v>
      </c>
      <c r="B288" s="9">
        <v>45189</v>
      </c>
      <c r="C288" s="8" t="s">
        <v>314</v>
      </c>
      <c r="D288" s="8" t="s">
        <v>22</v>
      </c>
      <c r="E288" s="10">
        <v>269.61</v>
      </c>
      <c r="F288" s="8">
        <v>5</v>
      </c>
      <c r="G288" s="8">
        <v>5</v>
      </c>
      <c r="H288" s="8" t="s">
        <v>14</v>
      </c>
      <c r="I288" s="8" t="s">
        <v>18</v>
      </c>
      <c r="J288" s="8">
        <v>4.5999999999999996</v>
      </c>
      <c r="K288" s="8">
        <v>18</v>
      </c>
      <c r="L288" s="10">
        <v>256.13</v>
      </c>
      <c r="M288" s="10">
        <v>1280.6500000000001</v>
      </c>
      <c r="O288" s="14" t="str">
        <f t="shared" si="8"/>
        <v>High</v>
      </c>
      <c r="P288" s="12" t="str">
        <f t="shared" si="9"/>
        <v>Excellent</v>
      </c>
    </row>
    <row r="289" spans="1:16" x14ac:dyDescent="0.35">
      <c r="A289" s="8">
        <v>288</v>
      </c>
      <c r="B289" s="9">
        <v>45148</v>
      </c>
      <c r="C289" s="8" t="s">
        <v>315</v>
      </c>
      <c r="D289" s="8" t="s">
        <v>25</v>
      </c>
      <c r="E289" s="10">
        <v>71.150000000000006</v>
      </c>
      <c r="F289" s="8">
        <v>15</v>
      </c>
      <c r="G289" s="8">
        <v>2</v>
      </c>
      <c r="H289" s="8" t="s">
        <v>20</v>
      </c>
      <c r="I289" s="8" t="s">
        <v>23</v>
      </c>
      <c r="J289" s="8">
        <v>3.2</v>
      </c>
      <c r="K289" s="8">
        <v>291</v>
      </c>
      <c r="L289" s="10">
        <v>60.48</v>
      </c>
      <c r="M289" s="10">
        <v>120.96</v>
      </c>
      <c r="O289" s="14" t="str">
        <f t="shared" si="8"/>
        <v>Low</v>
      </c>
      <c r="P289" s="12" t="str">
        <f t="shared" si="9"/>
        <v>Good</v>
      </c>
    </row>
    <row r="290" spans="1:16" x14ac:dyDescent="0.35">
      <c r="A290" s="8">
        <v>289</v>
      </c>
      <c r="B290" s="9">
        <v>45186</v>
      </c>
      <c r="C290" s="8" t="s">
        <v>316</v>
      </c>
      <c r="D290" s="8" t="s">
        <v>25</v>
      </c>
      <c r="E290" s="10">
        <v>82.25</v>
      </c>
      <c r="F290" s="8">
        <v>15</v>
      </c>
      <c r="G290" s="8">
        <v>1</v>
      </c>
      <c r="H290" s="8" t="s">
        <v>21</v>
      </c>
      <c r="I290" s="8" t="s">
        <v>26</v>
      </c>
      <c r="J290" s="8">
        <v>4.4000000000000004</v>
      </c>
      <c r="K290" s="8">
        <v>141</v>
      </c>
      <c r="L290" s="10">
        <v>69.91</v>
      </c>
      <c r="M290" s="10">
        <v>69.91</v>
      </c>
      <c r="O290" s="14" t="str">
        <f t="shared" si="8"/>
        <v>Low</v>
      </c>
      <c r="P290" s="12" t="str">
        <f t="shared" si="9"/>
        <v>Good</v>
      </c>
    </row>
    <row r="291" spans="1:16" x14ac:dyDescent="0.35">
      <c r="A291" s="8">
        <v>290</v>
      </c>
      <c r="B291" s="9">
        <v>44981</v>
      </c>
      <c r="C291" s="8" t="s">
        <v>317</v>
      </c>
      <c r="D291" s="8" t="s">
        <v>25</v>
      </c>
      <c r="E291" s="10">
        <v>241.28</v>
      </c>
      <c r="F291" s="8">
        <v>20</v>
      </c>
      <c r="G291" s="8">
        <v>3</v>
      </c>
      <c r="H291" s="8" t="s">
        <v>14</v>
      </c>
      <c r="I291" s="8" t="s">
        <v>15</v>
      </c>
      <c r="J291" s="8">
        <v>1.6</v>
      </c>
      <c r="K291" s="8">
        <v>52</v>
      </c>
      <c r="L291" s="10">
        <v>193.02</v>
      </c>
      <c r="M291" s="10">
        <v>579.05999999999995</v>
      </c>
      <c r="O291" s="14" t="str">
        <f t="shared" si="8"/>
        <v>Low</v>
      </c>
      <c r="P291" s="12" t="str">
        <f t="shared" si="9"/>
        <v>Poor</v>
      </c>
    </row>
    <row r="292" spans="1:16" x14ac:dyDescent="0.35">
      <c r="A292" s="8">
        <v>291</v>
      </c>
      <c r="B292" s="9">
        <v>44983</v>
      </c>
      <c r="C292" s="8" t="s">
        <v>318</v>
      </c>
      <c r="D292" s="8" t="s">
        <v>25</v>
      </c>
      <c r="E292" s="10">
        <v>310.58999999999997</v>
      </c>
      <c r="F292" s="8">
        <v>20</v>
      </c>
      <c r="G292" s="8">
        <v>4</v>
      </c>
      <c r="H292" s="8" t="s">
        <v>17</v>
      </c>
      <c r="I292" s="8" t="s">
        <v>26</v>
      </c>
      <c r="J292" s="8">
        <v>1.9</v>
      </c>
      <c r="K292" s="8">
        <v>127</v>
      </c>
      <c r="L292" s="10">
        <v>248.47</v>
      </c>
      <c r="M292" s="10">
        <v>993.88</v>
      </c>
      <c r="O292" s="14" t="str">
        <f t="shared" si="8"/>
        <v>Low</v>
      </c>
      <c r="P292" s="12" t="str">
        <f t="shared" si="9"/>
        <v>Poor</v>
      </c>
    </row>
    <row r="293" spans="1:16" x14ac:dyDescent="0.35">
      <c r="A293" s="8">
        <v>292</v>
      </c>
      <c r="B293" s="9">
        <v>44665</v>
      </c>
      <c r="C293" s="8" t="s">
        <v>319</v>
      </c>
      <c r="D293" s="8" t="s">
        <v>13</v>
      </c>
      <c r="E293" s="10">
        <v>489.42</v>
      </c>
      <c r="F293" s="8">
        <v>5</v>
      </c>
      <c r="G293" s="8">
        <v>5</v>
      </c>
      <c r="H293" s="8" t="s">
        <v>17</v>
      </c>
      <c r="I293" s="8" t="s">
        <v>26</v>
      </c>
      <c r="J293" s="8">
        <v>2.2000000000000002</v>
      </c>
      <c r="K293" s="8">
        <v>494</v>
      </c>
      <c r="L293" s="10">
        <v>464.95</v>
      </c>
      <c r="M293" s="10">
        <v>2324.75</v>
      </c>
      <c r="O293" s="14" t="str">
        <f t="shared" si="8"/>
        <v>High</v>
      </c>
      <c r="P293" s="12" t="str">
        <f t="shared" si="9"/>
        <v>Poor</v>
      </c>
    </row>
    <row r="294" spans="1:16" x14ac:dyDescent="0.35">
      <c r="A294" s="8">
        <v>293</v>
      </c>
      <c r="B294" s="9">
        <v>44815</v>
      </c>
      <c r="C294" s="8" t="s">
        <v>320</v>
      </c>
      <c r="D294" s="8" t="s">
        <v>25</v>
      </c>
      <c r="E294" s="10">
        <v>416.49</v>
      </c>
      <c r="F294" s="8">
        <v>15</v>
      </c>
      <c r="G294" s="8">
        <v>2</v>
      </c>
      <c r="H294" s="8" t="s">
        <v>20</v>
      </c>
      <c r="I294" s="8" t="s">
        <v>23</v>
      </c>
      <c r="J294" s="8">
        <v>3.6</v>
      </c>
      <c r="K294" s="8">
        <v>460</v>
      </c>
      <c r="L294" s="10">
        <v>354.02</v>
      </c>
      <c r="M294" s="10">
        <v>708.04</v>
      </c>
      <c r="O294" s="14" t="str">
        <f t="shared" si="8"/>
        <v>Low</v>
      </c>
      <c r="P294" s="12" t="str">
        <f t="shared" si="9"/>
        <v>Good</v>
      </c>
    </row>
    <row r="295" spans="1:16" x14ac:dyDescent="0.35">
      <c r="A295" s="8">
        <v>294</v>
      </c>
      <c r="B295" s="9">
        <v>44788</v>
      </c>
      <c r="C295" s="8" t="s">
        <v>321</v>
      </c>
      <c r="D295" s="8" t="s">
        <v>27</v>
      </c>
      <c r="E295" s="10">
        <v>210.11</v>
      </c>
      <c r="F295" s="8">
        <v>10</v>
      </c>
      <c r="G295" s="8">
        <v>4</v>
      </c>
      <c r="H295" s="8" t="s">
        <v>20</v>
      </c>
      <c r="I295" s="8" t="s">
        <v>26</v>
      </c>
      <c r="J295" s="8">
        <v>1</v>
      </c>
      <c r="K295" s="8">
        <v>369</v>
      </c>
      <c r="L295" s="10">
        <v>189.1</v>
      </c>
      <c r="M295" s="10">
        <v>756.4</v>
      </c>
      <c r="O295" s="14" t="str">
        <f t="shared" si="8"/>
        <v>Low</v>
      </c>
      <c r="P295" s="12" t="str">
        <f t="shared" si="9"/>
        <v>Poor</v>
      </c>
    </row>
    <row r="296" spans="1:16" x14ac:dyDescent="0.35">
      <c r="A296" s="8">
        <v>295</v>
      </c>
      <c r="B296" s="9">
        <v>44673</v>
      </c>
      <c r="C296" s="8" t="s">
        <v>322</v>
      </c>
      <c r="D296" s="8" t="s">
        <v>25</v>
      </c>
      <c r="E296" s="10">
        <v>178.33</v>
      </c>
      <c r="F296" s="8">
        <v>30</v>
      </c>
      <c r="G296" s="8">
        <v>5</v>
      </c>
      <c r="H296" s="8" t="s">
        <v>21</v>
      </c>
      <c r="I296" s="8" t="s">
        <v>15</v>
      </c>
      <c r="J296" s="8">
        <v>2.6</v>
      </c>
      <c r="K296" s="8">
        <v>456</v>
      </c>
      <c r="L296" s="10">
        <v>124.83</v>
      </c>
      <c r="M296" s="10">
        <v>624.15</v>
      </c>
      <c r="O296" s="14" t="str">
        <f t="shared" si="8"/>
        <v>Low</v>
      </c>
      <c r="P296" s="12" t="str">
        <f t="shared" si="9"/>
        <v>Poor</v>
      </c>
    </row>
    <row r="297" spans="1:16" x14ac:dyDescent="0.35">
      <c r="A297" s="8">
        <v>296</v>
      </c>
      <c r="B297" s="9">
        <v>45071</v>
      </c>
      <c r="C297" s="8" t="s">
        <v>323</v>
      </c>
      <c r="D297" s="8" t="s">
        <v>22</v>
      </c>
      <c r="E297" s="10">
        <v>11.68</v>
      </c>
      <c r="F297" s="8">
        <v>10</v>
      </c>
      <c r="G297" s="8">
        <v>4</v>
      </c>
      <c r="H297" s="8" t="s">
        <v>14</v>
      </c>
      <c r="I297" s="8" t="s">
        <v>23</v>
      </c>
      <c r="J297" s="8">
        <v>1.1000000000000001</v>
      </c>
      <c r="K297" s="8">
        <v>384</v>
      </c>
      <c r="L297" s="10">
        <v>10.51</v>
      </c>
      <c r="M297" s="10">
        <v>42.04</v>
      </c>
      <c r="O297" s="14" t="str">
        <f t="shared" si="8"/>
        <v>Low</v>
      </c>
      <c r="P297" s="12" t="str">
        <f t="shared" si="9"/>
        <v>Poor</v>
      </c>
    </row>
    <row r="298" spans="1:16" x14ac:dyDescent="0.35">
      <c r="A298" s="8">
        <v>297</v>
      </c>
      <c r="B298" s="9">
        <v>45034</v>
      </c>
      <c r="C298" s="8" t="s">
        <v>324</v>
      </c>
      <c r="D298" s="8" t="s">
        <v>16</v>
      </c>
      <c r="E298" s="10">
        <v>8.82</v>
      </c>
      <c r="F298" s="8">
        <v>0</v>
      </c>
      <c r="G298" s="8">
        <v>4</v>
      </c>
      <c r="H298" s="8" t="s">
        <v>20</v>
      </c>
      <c r="I298" s="8" t="s">
        <v>24</v>
      </c>
      <c r="J298" s="8">
        <v>2.6</v>
      </c>
      <c r="K298" s="8">
        <v>48</v>
      </c>
      <c r="L298" s="10">
        <v>8.82</v>
      </c>
      <c r="M298" s="10">
        <v>35.28</v>
      </c>
      <c r="O298" s="14" t="str">
        <f t="shared" si="8"/>
        <v>Low</v>
      </c>
      <c r="P298" s="12" t="str">
        <f t="shared" si="9"/>
        <v>Poor</v>
      </c>
    </row>
    <row r="299" spans="1:16" x14ac:dyDescent="0.35">
      <c r="A299" s="8">
        <v>298</v>
      </c>
      <c r="B299" s="9">
        <v>44660</v>
      </c>
      <c r="C299" s="8" t="s">
        <v>325</v>
      </c>
      <c r="D299" s="8" t="s">
        <v>13</v>
      </c>
      <c r="E299" s="10">
        <v>239.85</v>
      </c>
      <c r="F299" s="8">
        <v>20</v>
      </c>
      <c r="G299" s="8">
        <v>1</v>
      </c>
      <c r="H299" s="8" t="s">
        <v>14</v>
      </c>
      <c r="I299" s="8" t="s">
        <v>23</v>
      </c>
      <c r="J299" s="8">
        <v>2.4</v>
      </c>
      <c r="K299" s="8">
        <v>193</v>
      </c>
      <c r="L299" s="10">
        <v>191.88</v>
      </c>
      <c r="M299" s="10">
        <v>191.88</v>
      </c>
      <c r="O299" s="14" t="str">
        <f t="shared" si="8"/>
        <v>Low</v>
      </c>
      <c r="P299" s="12" t="str">
        <f t="shared" si="9"/>
        <v>Poor</v>
      </c>
    </row>
    <row r="300" spans="1:16" x14ac:dyDescent="0.35">
      <c r="A300" s="8">
        <v>299</v>
      </c>
      <c r="B300" s="9">
        <v>44714</v>
      </c>
      <c r="C300" s="8" t="s">
        <v>326</v>
      </c>
      <c r="D300" s="8" t="s">
        <v>13</v>
      </c>
      <c r="E300" s="10">
        <v>39.299999999999997</v>
      </c>
      <c r="F300" s="8">
        <v>15</v>
      </c>
      <c r="G300" s="8">
        <v>1</v>
      </c>
      <c r="H300" s="8" t="s">
        <v>21</v>
      </c>
      <c r="I300" s="8" t="s">
        <v>23</v>
      </c>
      <c r="J300" s="8">
        <v>1.6</v>
      </c>
      <c r="K300" s="8">
        <v>183</v>
      </c>
      <c r="L300" s="10">
        <v>33.4</v>
      </c>
      <c r="M300" s="10">
        <v>33.4</v>
      </c>
      <c r="O300" s="14" t="str">
        <f t="shared" si="8"/>
        <v>Low</v>
      </c>
      <c r="P300" s="12" t="str">
        <f t="shared" si="9"/>
        <v>Poor</v>
      </c>
    </row>
    <row r="301" spans="1:16" x14ac:dyDescent="0.35">
      <c r="A301" s="8">
        <v>300</v>
      </c>
      <c r="B301" s="9">
        <v>44899</v>
      </c>
      <c r="C301" s="8" t="s">
        <v>327</v>
      </c>
      <c r="D301" s="8" t="s">
        <v>13</v>
      </c>
      <c r="E301" s="10">
        <v>82.4</v>
      </c>
      <c r="F301" s="8">
        <v>0</v>
      </c>
      <c r="G301" s="8">
        <v>1</v>
      </c>
      <c r="H301" s="8" t="s">
        <v>17</v>
      </c>
      <c r="I301" s="8" t="s">
        <v>24</v>
      </c>
      <c r="J301" s="8">
        <v>3.5</v>
      </c>
      <c r="K301" s="8">
        <v>437</v>
      </c>
      <c r="L301" s="10">
        <v>82.4</v>
      </c>
      <c r="M301" s="10">
        <v>82.4</v>
      </c>
      <c r="O301" s="14" t="str">
        <f t="shared" si="8"/>
        <v>Low</v>
      </c>
      <c r="P301" s="12" t="str">
        <f t="shared" si="9"/>
        <v>Good</v>
      </c>
    </row>
    <row r="302" spans="1:16" x14ac:dyDescent="0.35">
      <c r="A302" s="8">
        <v>301</v>
      </c>
      <c r="B302" s="9">
        <v>45267</v>
      </c>
      <c r="C302" s="8" t="s">
        <v>328</v>
      </c>
      <c r="D302" s="8" t="s">
        <v>13</v>
      </c>
      <c r="E302" s="10">
        <v>490.29</v>
      </c>
      <c r="F302" s="8">
        <v>5</v>
      </c>
      <c r="G302" s="8">
        <v>5</v>
      </c>
      <c r="H302" s="8" t="s">
        <v>21</v>
      </c>
      <c r="I302" s="8" t="s">
        <v>15</v>
      </c>
      <c r="J302" s="8">
        <v>1.9</v>
      </c>
      <c r="K302" s="8">
        <v>429</v>
      </c>
      <c r="L302" s="10">
        <v>465.78</v>
      </c>
      <c r="M302" s="10">
        <v>2328.9</v>
      </c>
      <c r="O302" s="14" t="str">
        <f t="shared" si="8"/>
        <v>High</v>
      </c>
      <c r="P302" s="12" t="str">
        <f t="shared" si="9"/>
        <v>Poor</v>
      </c>
    </row>
    <row r="303" spans="1:16" x14ac:dyDescent="0.35">
      <c r="A303" s="8">
        <v>302</v>
      </c>
      <c r="B303" s="9">
        <v>44724</v>
      </c>
      <c r="C303" s="8" t="s">
        <v>329</v>
      </c>
      <c r="D303" s="8" t="s">
        <v>25</v>
      </c>
      <c r="E303" s="10">
        <v>360.04</v>
      </c>
      <c r="F303" s="8">
        <v>20</v>
      </c>
      <c r="G303" s="8">
        <v>1</v>
      </c>
      <c r="H303" s="8" t="s">
        <v>21</v>
      </c>
      <c r="I303" s="8" t="s">
        <v>26</v>
      </c>
      <c r="J303" s="8">
        <v>1.8</v>
      </c>
      <c r="K303" s="8">
        <v>389</v>
      </c>
      <c r="L303" s="10">
        <v>288.02999999999997</v>
      </c>
      <c r="M303" s="10">
        <v>288.02999999999997</v>
      </c>
      <c r="O303" s="14" t="str">
        <f t="shared" si="8"/>
        <v>Low</v>
      </c>
      <c r="P303" s="12" t="str">
        <f t="shared" si="9"/>
        <v>Poor</v>
      </c>
    </row>
    <row r="304" spans="1:16" x14ac:dyDescent="0.35">
      <c r="A304" s="8">
        <v>303</v>
      </c>
      <c r="B304" s="9">
        <v>45281</v>
      </c>
      <c r="C304" s="8" t="s">
        <v>330</v>
      </c>
      <c r="D304" s="8" t="s">
        <v>22</v>
      </c>
      <c r="E304" s="10">
        <v>228.86</v>
      </c>
      <c r="F304" s="8">
        <v>15</v>
      </c>
      <c r="G304" s="8">
        <v>4</v>
      </c>
      <c r="H304" s="8" t="s">
        <v>21</v>
      </c>
      <c r="I304" s="8" t="s">
        <v>18</v>
      </c>
      <c r="J304" s="8">
        <v>4.4000000000000004</v>
      </c>
      <c r="K304" s="8">
        <v>61</v>
      </c>
      <c r="L304" s="10">
        <v>194.53</v>
      </c>
      <c r="M304" s="10">
        <v>778.12</v>
      </c>
      <c r="O304" s="14" t="str">
        <f t="shared" si="8"/>
        <v>Low</v>
      </c>
      <c r="P304" s="12" t="str">
        <f t="shared" si="9"/>
        <v>Good</v>
      </c>
    </row>
    <row r="305" spans="1:16" x14ac:dyDescent="0.35">
      <c r="A305" s="8">
        <v>304</v>
      </c>
      <c r="B305" s="9">
        <v>45242</v>
      </c>
      <c r="C305" s="8" t="s">
        <v>331</v>
      </c>
      <c r="D305" s="8" t="s">
        <v>19</v>
      </c>
      <c r="E305" s="10">
        <v>429.65</v>
      </c>
      <c r="F305" s="8">
        <v>15</v>
      </c>
      <c r="G305" s="8">
        <v>4</v>
      </c>
      <c r="H305" s="8" t="s">
        <v>17</v>
      </c>
      <c r="I305" s="8" t="s">
        <v>26</v>
      </c>
      <c r="J305" s="8">
        <v>4.5</v>
      </c>
      <c r="K305" s="8">
        <v>66</v>
      </c>
      <c r="L305" s="10">
        <v>365.2</v>
      </c>
      <c r="M305" s="10">
        <v>1460.8</v>
      </c>
      <c r="O305" s="14" t="str">
        <f t="shared" si="8"/>
        <v>High</v>
      </c>
      <c r="P305" s="12" t="str">
        <f t="shared" si="9"/>
        <v>Excellent</v>
      </c>
    </row>
    <row r="306" spans="1:16" x14ac:dyDescent="0.35">
      <c r="A306" s="8">
        <v>305</v>
      </c>
      <c r="B306" s="9">
        <v>44722</v>
      </c>
      <c r="C306" s="8" t="s">
        <v>332</v>
      </c>
      <c r="D306" s="8" t="s">
        <v>25</v>
      </c>
      <c r="E306" s="10">
        <v>92.82</v>
      </c>
      <c r="F306" s="8">
        <v>5</v>
      </c>
      <c r="G306" s="8">
        <v>5</v>
      </c>
      <c r="H306" s="8" t="s">
        <v>20</v>
      </c>
      <c r="I306" s="8" t="s">
        <v>26</v>
      </c>
      <c r="J306" s="8">
        <v>2.9</v>
      </c>
      <c r="K306" s="8">
        <v>477</v>
      </c>
      <c r="L306" s="10">
        <v>88.18</v>
      </c>
      <c r="M306" s="10">
        <v>440.9</v>
      </c>
      <c r="O306" s="14" t="str">
        <f t="shared" si="8"/>
        <v>Low</v>
      </c>
      <c r="P306" s="12" t="str">
        <f t="shared" si="9"/>
        <v>Poor</v>
      </c>
    </row>
    <row r="307" spans="1:16" x14ac:dyDescent="0.35">
      <c r="A307" s="8">
        <v>306</v>
      </c>
      <c r="B307" s="9">
        <v>45141</v>
      </c>
      <c r="C307" s="8" t="s">
        <v>333</v>
      </c>
      <c r="D307" s="8" t="s">
        <v>16</v>
      </c>
      <c r="E307" s="10">
        <v>197.71</v>
      </c>
      <c r="F307" s="8">
        <v>15</v>
      </c>
      <c r="G307" s="8">
        <v>5</v>
      </c>
      <c r="H307" s="8" t="s">
        <v>21</v>
      </c>
      <c r="I307" s="8" t="s">
        <v>26</v>
      </c>
      <c r="J307" s="8">
        <v>1.3</v>
      </c>
      <c r="K307" s="8">
        <v>210</v>
      </c>
      <c r="L307" s="10">
        <v>168.05</v>
      </c>
      <c r="M307" s="10">
        <v>840.25</v>
      </c>
      <c r="O307" s="14" t="str">
        <f t="shared" si="8"/>
        <v>Low</v>
      </c>
      <c r="P307" s="12" t="str">
        <f t="shared" si="9"/>
        <v>Poor</v>
      </c>
    </row>
    <row r="308" spans="1:16" x14ac:dyDescent="0.35">
      <c r="A308" s="8">
        <v>307</v>
      </c>
      <c r="B308" s="9">
        <v>44959</v>
      </c>
      <c r="C308" s="8" t="s">
        <v>334</v>
      </c>
      <c r="D308" s="8" t="s">
        <v>16</v>
      </c>
      <c r="E308" s="10">
        <v>150.9</v>
      </c>
      <c r="F308" s="8">
        <v>0</v>
      </c>
      <c r="G308" s="8">
        <v>3</v>
      </c>
      <c r="H308" s="8" t="s">
        <v>14</v>
      </c>
      <c r="I308" s="8" t="s">
        <v>18</v>
      </c>
      <c r="J308" s="8">
        <v>3</v>
      </c>
      <c r="K308" s="8">
        <v>168</v>
      </c>
      <c r="L308" s="10">
        <v>150.9</v>
      </c>
      <c r="M308" s="10">
        <v>452.7</v>
      </c>
      <c r="O308" s="14" t="str">
        <f t="shared" si="8"/>
        <v>Low</v>
      </c>
      <c r="P308" s="12" t="str">
        <f t="shared" si="9"/>
        <v>Good</v>
      </c>
    </row>
    <row r="309" spans="1:16" x14ac:dyDescent="0.35">
      <c r="A309" s="8">
        <v>308</v>
      </c>
      <c r="B309" s="9">
        <v>44838</v>
      </c>
      <c r="C309" s="8" t="s">
        <v>335</v>
      </c>
      <c r="D309" s="8" t="s">
        <v>25</v>
      </c>
      <c r="E309" s="10">
        <v>497.75</v>
      </c>
      <c r="F309" s="8">
        <v>20</v>
      </c>
      <c r="G309" s="8">
        <v>1</v>
      </c>
      <c r="H309" s="8" t="s">
        <v>20</v>
      </c>
      <c r="I309" s="8" t="s">
        <v>26</v>
      </c>
      <c r="J309" s="8">
        <v>2.7</v>
      </c>
      <c r="K309" s="8">
        <v>192</v>
      </c>
      <c r="L309" s="10">
        <v>398.2</v>
      </c>
      <c r="M309" s="10">
        <v>398.2</v>
      </c>
      <c r="O309" s="14" t="str">
        <f t="shared" si="8"/>
        <v>Low</v>
      </c>
      <c r="P309" s="12" t="str">
        <f t="shared" si="9"/>
        <v>Poor</v>
      </c>
    </row>
    <row r="310" spans="1:16" x14ac:dyDescent="0.35">
      <c r="A310" s="8">
        <v>309</v>
      </c>
      <c r="B310" s="9">
        <v>45065</v>
      </c>
      <c r="C310" s="8" t="s">
        <v>336</v>
      </c>
      <c r="D310" s="8" t="s">
        <v>25</v>
      </c>
      <c r="E310" s="10">
        <v>451.05</v>
      </c>
      <c r="F310" s="8">
        <v>0</v>
      </c>
      <c r="G310" s="8">
        <v>3</v>
      </c>
      <c r="H310" s="8" t="s">
        <v>20</v>
      </c>
      <c r="I310" s="8" t="s">
        <v>18</v>
      </c>
      <c r="J310" s="8">
        <v>4.0999999999999996</v>
      </c>
      <c r="K310" s="8">
        <v>364</v>
      </c>
      <c r="L310" s="10">
        <v>451.05</v>
      </c>
      <c r="M310" s="10">
        <v>1353.15</v>
      </c>
      <c r="O310" s="14" t="str">
        <f t="shared" si="8"/>
        <v>High</v>
      </c>
      <c r="P310" s="12" t="str">
        <f t="shared" si="9"/>
        <v>Good</v>
      </c>
    </row>
    <row r="311" spans="1:16" x14ac:dyDescent="0.35">
      <c r="A311" s="8">
        <v>310</v>
      </c>
      <c r="B311" s="9">
        <v>44953</v>
      </c>
      <c r="C311" s="8" t="s">
        <v>337</v>
      </c>
      <c r="D311" s="8" t="s">
        <v>25</v>
      </c>
      <c r="E311" s="10">
        <v>265.41000000000003</v>
      </c>
      <c r="F311" s="8">
        <v>30</v>
      </c>
      <c r="G311" s="8">
        <v>5</v>
      </c>
      <c r="H311" s="8" t="s">
        <v>20</v>
      </c>
      <c r="I311" s="8" t="s">
        <v>26</v>
      </c>
      <c r="J311" s="8">
        <v>1.7</v>
      </c>
      <c r="K311" s="8">
        <v>321</v>
      </c>
      <c r="L311" s="10">
        <v>185.79</v>
      </c>
      <c r="M311" s="10">
        <v>928.95</v>
      </c>
      <c r="O311" s="14" t="str">
        <f t="shared" si="8"/>
        <v>Low</v>
      </c>
      <c r="P311" s="12" t="str">
        <f t="shared" si="9"/>
        <v>Poor</v>
      </c>
    </row>
    <row r="312" spans="1:16" x14ac:dyDescent="0.35">
      <c r="A312" s="8">
        <v>311</v>
      </c>
      <c r="B312" s="9">
        <v>44696</v>
      </c>
      <c r="C312" s="8" t="s">
        <v>338</v>
      </c>
      <c r="D312" s="8" t="s">
        <v>22</v>
      </c>
      <c r="E312" s="10">
        <v>214.9</v>
      </c>
      <c r="F312" s="8">
        <v>10</v>
      </c>
      <c r="G312" s="8">
        <v>5</v>
      </c>
      <c r="H312" s="8" t="s">
        <v>20</v>
      </c>
      <c r="I312" s="8" t="s">
        <v>15</v>
      </c>
      <c r="J312" s="8">
        <v>1.4</v>
      </c>
      <c r="K312" s="8">
        <v>484</v>
      </c>
      <c r="L312" s="10">
        <v>193.41</v>
      </c>
      <c r="M312" s="10">
        <v>967.05</v>
      </c>
      <c r="O312" s="14" t="str">
        <f t="shared" si="8"/>
        <v>Low</v>
      </c>
      <c r="P312" s="12" t="str">
        <f t="shared" si="9"/>
        <v>Poor</v>
      </c>
    </row>
    <row r="313" spans="1:16" x14ac:dyDescent="0.35">
      <c r="A313" s="8">
        <v>312</v>
      </c>
      <c r="B313" s="9">
        <v>44756</v>
      </c>
      <c r="C313" s="8" t="s">
        <v>339</v>
      </c>
      <c r="D313" s="8" t="s">
        <v>13</v>
      </c>
      <c r="E313" s="10">
        <v>499.06</v>
      </c>
      <c r="F313" s="8">
        <v>15</v>
      </c>
      <c r="G313" s="8">
        <v>1</v>
      </c>
      <c r="H313" s="8" t="s">
        <v>20</v>
      </c>
      <c r="I313" s="8" t="s">
        <v>26</v>
      </c>
      <c r="J313" s="8">
        <v>2</v>
      </c>
      <c r="K313" s="8">
        <v>405</v>
      </c>
      <c r="L313" s="10">
        <v>424.2</v>
      </c>
      <c r="M313" s="10">
        <v>424.2</v>
      </c>
      <c r="O313" s="14" t="str">
        <f t="shared" si="8"/>
        <v>Low</v>
      </c>
      <c r="P313" s="12" t="str">
        <f t="shared" si="9"/>
        <v>Poor</v>
      </c>
    </row>
    <row r="314" spans="1:16" x14ac:dyDescent="0.35">
      <c r="A314" s="8">
        <v>313</v>
      </c>
      <c r="B314" s="9">
        <v>44962</v>
      </c>
      <c r="C314" s="8" t="s">
        <v>340</v>
      </c>
      <c r="D314" s="8" t="s">
        <v>16</v>
      </c>
      <c r="E314" s="10">
        <v>107.13</v>
      </c>
      <c r="F314" s="8">
        <v>15</v>
      </c>
      <c r="G314" s="8">
        <v>3</v>
      </c>
      <c r="H314" s="8" t="s">
        <v>21</v>
      </c>
      <c r="I314" s="8" t="s">
        <v>18</v>
      </c>
      <c r="J314" s="8">
        <v>1.7</v>
      </c>
      <c r="K314" s="8">
        <v>66</v>
      </c>
      <c r="L314" s="10">
        <v>91.06</v>
      </c>
      <c r="M314" s="10">
        <v>273.18</v>
      </c>
      <c r="O314" s="14" t="str">
        <f t="shared" si="8"/>
        <v>Low</v>
      </c>
      <c r="P314" s="12" t="str">
        <f t="shared" si="9"/>
        <v>Poor</v>
      </c>
    </row>
    <row r="315" spans="1:16" x14ac:dyDescent="0.35">
      <c r="A315" s="8">
        <v>314</v>
      </c>
      <c r="B315" s="9">
        <v>45201</v>
      </c>
      <c r="C315" s="8" t="s">
        <v>341</v>
      </c>
      <c r="D315" s="8" t="s">
        <v>16</v>
      </c>
      <c r="E315" s="10">
        <v>206.9</v>
      </c>
      <c r="F315" s="8">
        <v>15</v>
      </c>
      <c r="G315" s="8">
        <v>2</v>
      </c>
      <c r="H315" s="8" t="s">
        <v>17</v>
      </c>
      <c r="I315" s="8" t="s">
        <v>15</v>
      </c>
      <c r="J315" s="8">
        <v>4.4000000000000004</v>
      </c>
      <c r="K315" s="8">
        <v>120</v>
      </c>
      <c r="L315" s="10">
        <v>175.86</v>
      </c>
      <c r="M315" s="10">
        <v>351.72</v>
      </c>
      <c r="O315" s="14" t="str">
        <f t="shared" si="8"/>
        <v>Low</v>
      </c>
      <c r="P315" s="12" t="str">
        <f t="shared" si="9"/>
        <v>Good</v>
      </c>
    </row>
    <row r="316" spans="1:16" x14ac:dyDescent="0.35">
      <c r="A316" s="8">
        <v>315</v>
      </c>
      <c r="B316" s="9">
        <v>44594</v>
      </c>
      <c r="C316" s="8" t="s">
        <v>342</v>
      </c>
      <c r="D316" s="8" t="s">
        <v>13</v>
      </c>
      <c r="E316" s="10">
        <v>357.33</v>
      </c>
      <c r="F316" s="8">
        <v>5</v>
      </c>
      <c r="G316" s="8">
        <v>1</v>
      </c>
      <c r="H316" s="8" t="s">
        <v>14</v>
      </c>
      <c r="I316" s="8" t="s">
        <v>23</v>
      </c>
      <c r="J316" s="8">
        <v>2.1</v>
      </c>
      <c r="K316" s="8">
        <v>449</v>
      </c>
      <c r="L316" s="10">
        <v>339.46</v>
      </c>
      <c r="M316" s="10">
        <v>339.46</v>
      </c>
      <c r="O316" s="14" t="str">
        <f t="shared" si="8"/>
        <v>Low</v>
      </c>
      <c r="P316" s="12" t="str">
        <f t="shared" si="9"/>
        <v>Poor</v>
      </c>
    </row>
    <row r="317" spans="1:16" x14ac:dyDescent="0.35">
      <c r="A317" s="8">
        <v>316</v>
      </c>
      <c r="B317" s="9">
        <v>45249</v>
      </c>
      <c r="C317" s="8" t="s">
        <v>343</v>
      </c>
      <c r="D317" s="8" t="s">
        <v>19</v>
      </c>
      <c r="E317" s="10">
        <v>353.4</v>
      </c>
      <c r="F317" s="8">
        <v>10</v>
      </c>
      <c r="G317" s="8">
        <v>2</v>
      </c>
      <c r="H317" s="8" t="s">
        <v>14</v>
      </c>
      <c r="I317" s="8" t="s">
        <v>26</v>
      </c>
      <c r="J317" s="8">
        <v>3.7</v>
      </c>
      <c r="K317" s="8">
        <v>285</v>
      </c>
      <c r="L317" s="10">
        <v>318.06</v>
      </c>
      <c r="M317" s="10">
        <v>636.12</v>
      </c>
      <c r="O317" s="14" t="str">
        <f t="shared" si="8"/>
        <v>Low</v>
      </c>
      <c r="P317" s="12" t="str">
        <f t="shared" si="9"/>
        <v>Good</v>
      </c>
    </row>
    <row r="318" spans="1:16" x14ac:dyDescent="0.35">
      <c r="A318" s="8">
        <v>317</v>
      </c>
      <c r="B318" s="9">
        <v>45021</v>
      </c>
      <c r="C318" s="8" t="s">
        <v>344</v>
      </c>
      <c r="D318" s="8" t="s">
        <v>13</v>
      </c>
      <c r="E318" s="10">
        <v>289.25</v>
      </c>
      <c r="F318" s="8">
        <v>10</v>
      </c>
      <c r="G318" s="8">
        <v>1</v>
      </c>
      <c r="H318" s="8" t="s">
        <v>17</v>
      </c>
      <c r="I318" s="8" t="s">
        <v>24</v>
      </c>
      <c r="J318" s="8">
        <v>1.5</v>
      </c>
      <c r="K318" s="8">
        <v>184</v>
      </c>
      <c r="L318" s="10">
        <v>260.32</v>
      </c>
      <c r="M318" s="10">
        <v>260.32</v>
      </c>
      <c r="O318" s="14" t="str">
        <f t="shared" si="8"/>
        <v>Low</v>
      </c>
      <c r="P318" s="12" t="str">
        <f t="shared" si="9"/>
        <v>Poor</v>
      </c>
    </row>
    <row r="319" spans="1:16" x14ac:dyDescent="0.35">
      <c r="A319" s="8">
        <v>318</v>
      </c>
      <c r="B319" s="9">
        <v>45031</v>
      </c>
      <c r="C319" s="8" t="s">
        <v>345</v>
      </c>
      <c r="D319" s="8" t="s">
        <v>16</v>
      </c>
      <c r="E319" s="10">
        <v>476.19</v>
      </c>
      <c r="F319" s="8">
        <v>0</v>
      </c>
      <c r="G319" s="8">
        <v>4</v>
      </c>
      <c r="H319" s="8" t="s">
        <v>14</v>
      </c>
      <c r="I319" s="8" t="s">
        <v>18</v>
      </c>
      <c r="J319" s="8">
        <v>4.3</v>
      </c>
      <c r="K319" s="8">
        <v>70</v>
      </c>
      <c r="L319" s="10">
        <v>476.19</v>
      </c>
      <c r="M319" s="10">
        <v>1904.76</v>
      </c>
      <c r="O319" s="14" t="str">
        <f t="shared" si="8"/>
        <v>High</v>
      </c>
      <c r="P319" s="12" t="str">
        <f t="shared" si="9"/>
        <v>Good</v>
      </c>
    </row>
    <row r="320" spans="1:16" x14ac:dyDescent="0.35">
      <c r="A320" s="8">
        <v>319</v>
      </c>
      <c r="B320" s="9">
        <v>44936</v>
      </c>
      <c r="C320" s="8" t="s">
        <v>346</v>
      </c>
      <c r="D320" s="8" t="s">
        <v>16</v>
      </c>
      <c r="E320" s="10">
        <v>127.15</v>
      </c>
      <c r="F320" s="8">
        <v>15</v>
      </c>
      <c r="G320" s="8">
        <v>4</v>
      </c>
      <c r="H320" s="8" t="s">
        <v>21</v>
      </c>
      <c r="I320" s="8" t="s">
        <v>23</v>
      </c>
      <c r="J320" s="8">
        <v>2.8</v>
      </c>
      <c r="K320" s="8">
        <v>484</v>
      </c>
      <c r="L320" s="10">
        <v>108.08</v>
      </c>
      <c r="M320" s="10">
        <v>432.32</v>
      </c>
      <c r="O320" s="14" t="str">
        <f t="shared" si="8"/>
        <v>Low</v>
      </c>
      <c r="P320" s="12" t="str">
        <f t="shared" si="9"/>
        <v>Poor</v>
      </c>
    </row>
    <row r="321" spans="1:16" x14ac:dyDescent="0.35">
      <c r="A321" s="8">
        <v>320</v>
      </c>
      <c r="B321" s="9">
        <v>44583</v>
      </c>
      <c r="C321" s="8" t="s">
        <v>347</v>
      </c>
      <c r="D321" s="8" t="s">
        <v>22</v>
      </c>
      <c r="E321" s="10">
        <v>286.47000000000003</v>
      </c>
      <c r="F321" s="8">
        <v>5</v>
      </c>
      <c r="G321" s="8">
        <v>2</v>
      </c>
      <c r="H321" s="8" t="s">
        <v>20</v>
      </c>
      <c r="I321" s="8" t="s">
        <v>23</v>
      </c>
      <c r="J321" s="8">
        <v>4.4000000000000004</v>
      </c>
      <c r="K321" s="8">
        <v>377</v>
      </c>
      <c r="L321" s="10">
        <v>272.14999999999998</v>
      </c>
      <c r="M321" s="10">
        <v>544.29999999999995</v>
      </c>
      <c r="O321" s="14" t="str">
        <f t="shared" si="8"/>
        <v>Low</v>
      </c>
      <c r="P321" s="12" t="str">
        <f t="shared" si="9"/>
        <v>Good</v>
      </c>
    </row>
    <row r="322" spans="1:16" x14ac:dyDescent="0.35">
      <c r="A322" s="8">
        <v>321</v>
      </c>
      <c r="B322" s="9">
        <v>45231</v>
      </c>
      <c r="C322" s="8" t="s">
        <v>348</v>
      </c>
      <c r="D322" s="8" t="s">
        <v>16</v>
      </c>
      <c r="E322" s="10">
        <v>406.19</v>
      </c>
      <c r="F322" s="8">
        <v>0</v>
      </c>
      <c r="G322" s="8">
        <v>5</v>
      </c>
      <c r="H322" s="8" t="s">
        <v>14</v>
      </c>
      <c r="I322" s="8" t="s">
        <v>24</v>
      </c>
      <c r="J322" s="8">
        <v>2.1</v>
      </c>
      <c r="K322" s="8">
        <v>402</v>
      </c>
      <c r="L322" s="10">
        <v>406.19</v>
      </c>
      <c r="M322" s="10">
        <v>2030.95</v>
      </c>
      <c r="O322" s="14" t="str">
        <f t="shared" si="8"/>
        <v>High</v>
      </c>
      <c r="P322" s="12" t="str">
        <f t="shared" si="9"/>
        <v>Poor</v>
      </c>
    </row>
    <row r="323" spans="1:16" x14ac:dyDescent="0.35">
      <c r="A323" s="8">
        <v>322</v>
      </c>
      <c r="B323" s="9">
        <v>44599</v>
      </c>
      <c r="C323" s="8" t="s">
        <v>349</v>
      </c>
      <c r="D323" s="8" t="s">
        <v>25</v>
      </c>
      <c r="E323" s="10">
        <v>120.07</v>
      </c>
      <c r="F323" s="8">
        <v>15</v>
      </c>
      <c r="G323" s="8">
        <v>3</v>
      </c>
      <c r="H323" s="8" t="s">
        <v>17</v>
      </c>
      <c r="I323" s="8" t="s">
        <v>15</v>
      </c>
      <c r="J323" s="8">
        <v>3.2</v>
      </c>
      <c r="K323" s="8">
        <v>64</v>
      </c>
      <c r="L323" s="10">
        <v>102.06</v>
      </c>
      <c r="M323" s="10">
        <v>306.18</v>
      </c>
      <c r="O323" s="14" t="str">
        <f t="shared" ref="O323:O386" si="10">IF(M323 &gt; 1000, "High", "Low")</f>
        <v>Low</v>
      </c>
      <c r="P323" s="12" t="str">
        <f t="shared" ref="P323:P386" si="11">IF(J323 &gt;= 4.5, "Excellent", IF(J323 &gt;= 3, "Good", "Poor"))</f>
        <v>Good</v>
      </c>
    </row>
    <row r="324" spans="1:16" x14ac:dyDescent="0.35">
      <c r="A324" s="8">
        <v>323</v>
      </c>
      <c r="B324" s="9">
        <v>44791</v>
      </c>
      <c r="C324" s="8" t="s">
        <v>350</v>
      </c>
      <c r="D324" s="8" t="s">
        <v>25</v>
      </c>
      <c r="E324" s="10">
        <v>436.22</v>
      </c>
      <c r="F324" s="8">
        <v>30</v>
      </c>
      <c r="G324" s="8">
        <v>1</v>
      </c>
      <c r="H324" s="8" t="s">
        <v>17</v>
      </c>
      <c r="I324" s="8" t="s">
        <v>23</v>
      </c>
      <c r="J324" s="8">
        <v>3.5</v>
      </c>
      <c r="K324" s="8">
        <v>160</v>
      </c>
      <c r="L324" s="10">
        <v>305.35000000000002</v>
      </c>
      <c r="M324" s="10">
        <v>305.35000000000002</v>
      </c>
      <c r="O324" s="14" t="str">
        <f t="shared" si="10"/>
        <v>Low</v>
      </c>
      <c r="P324" s="12" t="str">
        <f t="shared" si="11"/>
        <v>Good</v>
      </c>
    </row>
    <row r="325" spans="1:16" x14ac:dyDescent="0.35">
      <c r="A325" s="8">
        <v>324</v>
      </c>
      <c r="B325" s="9">
        <v>44926</v>
      </c>
      <c r="C325" s="8" t="s">
        <v>351</v>
      </c>
      <c r="D325" s="8" t="s">
        <v>13</v>
      </c>
      <c r="E325" s="10">
        <v>321.37</v>
      </c>
      <c r="F325" s="8">
        <v>10</v>
      </c>
      <c r="G325" s="8">
        <v>4</v>
      </c>
      <c r="H325" s="8" t="s">
        <v>21</v>
      </c>
      <c r="I325" s="8" t="s">
        <v>23</v>
      </c>
      <c r="J325" s="8">
        <v>3</v>
      </c>
      <c r="K325" s="8">
        <v>365</v>
      </c>
      <c r="L325" s="10">
        <v>289.23</v>
      </c>
      <c r="M325" s="10">
        <v>1156.92</v>
      </c>
      <c r="O325" s="14" t="str">
        <f t="shared" si="10"/>
        <v>High</v>
      </c>
      <c r="P325" s="12" t="str">
        <f t="shared" si="11"/>
        <v>Good</v>
      </c>
    </row>
    <row r="326" spans="1:16" x14ac:dyDescent="0.35">
      <c r="A326" s="8">
        <v>325</v>
      </c>
      <c r="B326" s="9">
        <v>45124</v>
      </c>
      <c r="C326" s="8" t="s">
        <v>352</v>
      </c>
      <c r="D326" s="8" t="s">
        <v>13</v>
      </c>
      <c r="E326" s="10">
        <v>193.63</v>
      </c>
      <c r="F326" s="8">
        <v>30</v>
      </c>
      <c r="G326" s="8">
        <v>1</v>
      </c>
      <c r="H326" s="8" t="s">
        <v>17</v>
      </c>
      <c r="I326" s="8" t="s">
        <v>26</v>
      </c>
      <c r="J326" s="8">
        <v>2</v>
      </c>
      <c r="K326" s="8">
        <v>250</v>
      </c>
      <c r="L326" s="10">
        <v>135.54</v>
      </c>
      <c r="M326" s="10">
        <v>135.54</v>
      </c>
      <c r="O326" s="14" t="str">
        <f t="shared" si="10"/>
        <v>Low</v>
      </c>
      <c r="P326" s="12" t="str">
        <f t="shared" si="11"/>
        <v>Poor</v>
      </c>
    </row>
    <row r="327" spans="1:16" x14ac:dyDescent="0.35">
      <c r="A327" s="8">
        <v>326</v>
      </c>
      <c r="B327" s="9">
        <v>44999</v>
      </c>
      <c r="C327" s="8" t="s">
        <v>353</v>
      </c>
      <c r="D327" s="8" t="s">
        <v>25</v>
      </c>
      <c r="E327" s="10">
        <v>325.61</v>
      </c>
      <c r="F327" s="8">
        <v>15</v>
      </c>
      <c r="G327" s="8">
        <v>4</v>
      </c>
      <c r="H327" s="8" t="s">
        <v>20</v>
      </c>
      <c r="I327" s="8" t="s">
        <v>18</v>
      </c>
      <c r="J327" s="8">
        <v>4.0999999999999996</v>
      </c>
      <c r="K327" s="8">
        <v>114</v>
      </c>
      <c r="L327" s="10">
        <v>276.77</v>
      </c>
      <c r="M327" s="10">
        <v>1107.08</v>
      </c>
      <c r="O327" s="14" t="str">
        <f t="shared" si="10"/>
        <v>High</v>
      </c>
      <c r="P327" s="12" t="str">
        <f t="shared" si="11"/>
        <v>Good</v>
      </c>
    </row>
    <row r="328" spans="1:16" x14ac:dyDescent="0.35">
      <c r="A328" s="8">
        <v>327</v>
      </c>
      <c r="B328" s="9">
        <v>44844</v>
      </c>
      <c r="C328" s="8" t="s">
        <v>354</v>
      </c>
      <c r="D328" s="8" t="s">
        <v>13</v>
      </c>
      <c r="E328" s="10">
        <v>464.39</v>
      </c>
      <c r="F328" s="8">
        <v>15</v>
      </c>
      <c r="G328" s="8">
        <v>4</v>
      </c>
      <c r="H328" s="8" t="s">
        <v>17</v>
      </c>
      <c r="I328" s="8" t="s">
        <v>18</v>
      </c>
      <c r="J328" s="8">
        <v>1.3</v>
      </c>
      <c r="K328" s="8">
        <v>156</v>
      </c>
      <c r="L328" s="10">
        <v>394.73</v>
      </c>
      <c r="M328" s="10">
        <v>1578.92</v>
      </c>
      <c r="O328" s="14" t="str">
        <f t="shared" si="10"/>
        <v>High</v>
      </c>
      <c r="P328" s="12" t="str">
        <f t="shared" si="11"/>
        <v>Poor</v>
      </c>
    </row>
    <row r="329" spans="1:16" x14ac:dyDescent="0.35">
      <c r="A329" s="8">
        <v>328</v>
      </c>
      <c r="B329" s="9">
        <v>44588</v>
      </c>
      <c r="C329" s="8" t="s">
        <v>355</v>
      </c>
      <c r="D329" s="8" t="s">
        <v>25</v>
      </c>
      <c r="E329" s="10">
        <v>494.15</v>
      </c>
      <c r="F329" s="8">
        <v>30</v>
      </c>
      <c r="G329" s="8">
        <v>5</v>
      </c>
      <c r="H329" s="8" t="s">
        <v>14</v>
      </c>
      <c r="I329" s="8" t="s">
        <v>18</v>
      </c>
      <c r="J329" s="8">
        <v>1.6</v>
      </c>
      <c r="K329" s="8">
        <v>327</v>
      </c>
      <c r="L329" s="10">
        <v>345.9</v>
      </c>
      <c r="M329" s="10">
        <v>1729.5</v>
      </c>
      <c r="O329" s="14" t="str">
        <f t="shared" si="10"/>
        <v>High</v>
      </c>
      <c r="P329" s="12" t="str">
        <f t="shared" si="11"/>
        <v>Poor</v>
      </c>
    </row>
    <row r="330" spans="1:16" x14ac:dyDescent="0.35">
      <c r="A330" s="8">
        <v>329</v>
      </c>
      <c r="B330" s="9">
        <v>44787</v>
      </c>
      <c r="C330" s="8" t="s">
        <v>356</v>
      </c>
      <c r="D330" s="8" t="s">
        <v>22</v>
      </c>
      <c r="E330" s="10">
        <v>144.31</v>
      </c>
      <c r="F330" s="8">
        <v>10</v>
      </c>
      <c r="G330" s="8">
        <v>5</v>
      </c>
      <c r="H330" s="8" t="s">
        <v>20</v>
      </c>
      <c r="I330" s="8" t="s">
        <v>15</v>
      </c>
      <c r="J330" s="8">
        <v>1.3</v>
      </c>
      <c r="K330" s="8">
        <v>238</v>
      </c>
      <c r="L330" s="10">
        <v>129.88</v>
      </c>
      <c r="M330" s="10">
        <v>649.4</v>
      </c>
      <c r="O330" s="14" t="str">
        <f t="shared" si="10"/>
        <v>Low</v>
      </c>
      <c r="P330" s="12" t="str">
        <f t="shared" si="11"/>
        <v>Poor</v>
      </c>
    </row>
    <row r="331" spans="1:16" x14ac:dyDescent="0.35">
      <c r="A331" s="8">
        <v>330</v>
      </c>
      <c r="B331" s="9">
        <v>44838</v>
      </c>
      <c r="C331" s="8" t="s">
        <v>357</v>
      </c>
      <c r="D331" s="8" t="s">
        <v>13</v>
      </c>
      <c r="E331" s="10">
        <v>454.99</v>
      </c>
      <c r="F331" s="8">
        <v>15</v>
      </c>
      <c r="G331" s="8">
        <v>3</v>
      </c>
      <c r="H331" s="8" t="s">
        <v>21</v>
      </c>
      <c r="I331" s="8" t="s">
        <v>18</v>
      </c>
      <c r="J331" s="8">
        <v>2.2000000000000002</v>
      </c>
      <c r="K331" s="8">
        <v>327</v>
      </c>
      <c r="L331" s="10">
        <v>386.74</v>
      </c>
      <c r="M331" s="10">
        <v>1160.22</v>
      </c>
      <c r="O331" s="14" t="str">
        <f t="shared" si="10"/>
        <v>High</v>
      </c>
      <c r="P331" s="12" t="str">
        <f t="shared" si="11"/>
        <v>Poor</v>
      </c>
    </row>
    <row r="332" spans="1:16" x14ac:dyDescent="0.35">
      <c r="A332" s="8">
        <v>331</v>
      </c>
      <c r="B332" s="9">
        <v>45170</v>
      </c>
      <c r="C332" s="8" t="s">
        <v>358</v>
      </c>
      <c r="D332" s="8" t="s">
        <v>27</v>
      </c>
      <c r="E332" s="10">
        <v>24.1</v>
      </c>
      <c r="F332" s="8">
        <v>10</v>
      </c>
      <c r="G332" s="8">
        <v>1</v>
      </c>
      <c r="H332" s="8" t="s">
        <v>21</v>
      </c>
      <c r="I332" s="8" t="s">
        <v>24</v>
      </c>
      <c r="J332" s="8">
        <v>4.9000000000000004</v>
      </c>
      <c r="K332" s="8">
        <v>89</v>
      </c>
      <c r="L332" s="10">
        <v>21.69</v>
      </c>
      <c r="M332" s="10">
        <v>21.69</v>
      </c>
      <c r="O332" s="14" t="str">
        <f t="shared" si="10"/>
        <v>Low</v>
      </c>
      <c r="P332" s="12" t="str">
        <f t="shared" si="11"/>
        <v>Excellent</v>
      </c>
    </row>
    <row r="333" spans="1:16" x14ac:dyDescent="0.35">
      <c r="A333" s="8">
        <v>332</v>
      </c>
      <c r="B333" s="9">
        <v>44845</v>
      </c>
      <c r="C333" s="8" t="s">
        <v>359</v>
      </c>
      <c r="D333" s="8" t="s">
        <v>19</v>
      </c>
      <c r="E333" s="10">
        <v>8.6</v>
      </c>
      <c r="F333" s="8">
        <v>0</v>
      </c>
      <c r="G333" s="8">
        <v>4</v>
      </c>
      <c r="H333" s="8" t="s">
        <v>20</v>
      </c>
      <c r="I333" s="8" t="s">
        <v>18</v>
      </c>
      <c r="J333" s="8">
        <v>1.5</v>
      </c>
      <c r="K333" s="8">
        <v>274</v>
      </c>
      <c r="L333" s="10">
        <v>8.6</v>
      </c>
      <c r="M333" s="10">
        <v>34.4</v>
      </c>
      <c r="O333" s="14" t="str">
        <f t="shared" si="10"/>
        <v>Low</v>
      </c>
      <c r="P333" s="12" t="str">
        <f t="shared" si="11"/>
        <v>Poor</v>
      </c>
    </row>
    <row r="334" spans="1:16" x14ac:dyDescent="0.35">
      <c r="A334" s="8">
        <v>333</v>
      </c>
      <c r="B334" s="9">
        <v>45042</v>
      </c>
      <c r="C334" s="8" t="s">
        <v>360</v>
      </c>
      <c r="D334" s="8" t="s">
        <v>16</v>
      </c>
      <c r="E334" s="10">
        <v>302.8</v>
      </c>
      <c r="F334" s="8">
        <v>20</v>
      </c>
      <c r="G334" s="8">
        <v>4</v>
      </c>
      <c r="H334" s="8" t="s">
        <v>17</v>
      </c>
      <c r="I334" s="8" t="s">
        <v>15</v>
      </c>
      <c r="J334" s="8">
        <v>4.9000000000000004</v>
      </c>
      <c r="K334" s="8">
        <v>465</v>
      </c>
      <c r="L334" s="10">
        <v>242.24</v>
      </c>
      <c r="M334" s="10">
        <v>968.96</v>
      </c>
      <c r="O334" s="14" t="str">
        <f t="shared" si="10"/>
        <v>Low</v>
      </c>
      <c r="P334" s="12" t="str">
        <f t="shared" si="11"/>
        <v>Excellent</v>
      </c>
    </row>
    <row r="335" spans="1:16" x14ac:dyDescent="0.35">
      <c r="A335" s="8">
        <v>334</v>
      </c>
      <c r="B335" s="9">
        <v>45014</v>
      </c>
      <c r="C335" s="8" t="s">
        <v>361</v>
      </c>
      <c r="D335" s="8" t="s">
        <v>25</v>
      </c>
      <c r="E335" s="10">
        <v>243.41</v>
      </c>
      <c r="F335" s="8">
        <v>10</v>
      </c>
      <c r="G335" s="8">
        <v>2</v>
      </c>
      <c r="H335" s="8" t="s">
        <v>14</v>
      </c>
      <c r="I335" s="8" t="s">
        <v>24</v>
      </c>
      <c r="J335" s="8">
        <v>1.2</v>
      </c>
      <c r="K335" s="8">
        <v>99</v>
      </c>
      <c r="L335" s="10">
        <v>219.07</v>
      </c>
      <c r="M335" s="10">
        <v>438.14</v>
      </c>
      <c r="O335" s="14" t="str">
        <f t="shared" si="10"/>
        <v>Low</v>
      </c>
      <c r="P335" s="12" t="str">
        <f t="shared" si="11"/>
        <v>Poor</v>
      </c>
    </row>
    <row r="336" spans="1:16" x14ac:dyDescent="0.35">
      <c r="A336" s="8">
        <v>335</v>
      </c>
      <c r="B336" s="9">
        <v>45220</v>
      </c>
      <c r="C336" s="8" t="s">
        <v>362</v>
      </c>
      <c r="D336" s="8" t="s">
        <v>19</v>
      </c>
      <c r="E336" s="10">
        <v>237.25</v>
      </c>
      <c r="F336" s="8">
        <v>0</v>
      </c>
      <c r="G336" s="8">
        <v>3</v>
      </c>
      <c r="H336" s="8" t="s">
        <v>20</v>
      </c>
      <c r="I336" s="8" t="s">
        <v>23</v>
      </c>
      <c r="J336" s="8">
        <v>4.5</v>
      </c>
      <c r="K336" s="8">
        <v>177</v>
      </c>
      <c r="L336" s="10">
        <v>237.25</v>
      </c>
      <c r="M336" s="10">
        <v>711.75</v>
      </c>
      <c r="O336" s="14" t="str">
        <f t="shared" si="10"/>
        <v>Low</v>
      </c>
      <c r="P336" s="12" t="str">
        <f t="shared" si="11"/>
        <v>Excellent</v>
      </c>
    </row>
    <row r="337" spans="1:16" x14ac:dyDescent="0.35">
      <c r="A337" s="8">
        <v>336</v>
      </c>
      <c r="B337" s="9">
        <v>45077</v>
      </c>
      <c r="C337" s="8" t="s">
        <v>363</v>
      </c>
      <c r="D337" s="8" t="s">
        <v>16</v>
      </c>
      <c r="E337" s="10">
        <v>120.86</v>
      </c>
      <c r="F337" s="8">
        <v>5</v>
      </c>
      <c r="G337" s="8">
        <v>2</v>
      </c>
      <c r="H337" s="8" t="s">
        <v>17</v>
      </c>
      <c r="I337" s="8" t="s">
        <v>15</v>
      </c>
      <c r="J337" s="8">
        <v>3.8</v>
      </c>
      <c r="K337" s="8">
        <v>344</v>
      </c>
      <c r="L337" s="10">
        <v>114.82</v>
      </c>
      <c r="M337" s="10">
        <v>229.64</v>
      </c>
      <c r="O337" s="14" t="str">
        <f t="shared" si="10"/>
        <v>Low</v>
      </c>
      <c r="P337" s="12" t="str">
        <f t="shared" si="11"/>
        <v>Good</v>
      </c>
    </row>
    <row r="338" spans="1:16" x14ac:dyDescent="0.35">
      <c r="A338" s="8">
        <v>337</v>
      </c>
      <c r="B338" s="9">
        <v>45108</v>
      </c>
      <c r="C338" s="8" t="s">
        <v>364</v>
      </c>
      <c r="D338" s="8" t="s">
        <v>16</v>
      </c>
      <c r="E338" s="10">
        <v>300.74</v>
      </c>
      <c r="F338" s="8">
        <v>0</v>
      </c>
      <c r="G338" s="8">
        <v>1</v>
      </c>
      <c r="H338" s="8" t="s">
        <v>14</v>
      </c>
      <c r="I338" s="8" t="s">
        <v>18</v>
      </c>
      <c r="J338" s="8">
        <v>2.9</v>
      </c>
      <c r="K338" s="8">
        <v>74</v>
      </c>
      <c r="L338" s="10">
        <v>300.74</v>
      </c>
      <c r="M338" s="10">
        <v>300.74</v>
      </c>
      <c r="O338" s="14" t="str">
        <f t="shared" si="10"/>
        <v>Low</v>
      </c>
      <c r="P338" s="12" t="str">
        <f t="shared" si="11"/>
        <v>Poor</v>
      </c>
    </row>
    <row r="339" spans="1:16" x14ac:dyDescent="0.35">
      <c r="A339" s="8">
        <v>338</v>
      </c>
      <c r="B339" s="9">
        <v>44753</v>
      </c>
      <c r="C339" s="8" t="s">
        <v>365</v>
      </c>
      <c r="D339" s="8" t="s">
        <v>13</v>
      </c>
      <c r="E339" s="10">
        <v>13.39</v>
      </c>
      <c r="F339" s="8">
        <v>10</v>
      </c>
      <c r="G339" s="8">
        <v>5</v>
      </c>
      <c r="H339" s="8" t="s">
        <v>17</v>
      </c>
      <c r="I339" s="8" t="s">
        <v>15</v>
      </c>
      <c r="J339" s="8">
        <v>4.4000000000000004</v>
      </c>
      <c r="K339" s="8">
        <v>495</v>
      </c>
      <c r="L339" s="10">
        <v>12.05</v>
      </c>
      <c r="M339" s="10">
        <v>60.25</v>
      </c>
      <c r="O339" s="14" t="str">
        <f t="shared" si="10"/>
        <v>Low</v>
      </c>
      <c r="P339" s="12" t="str">
        <f t="shared" si="11"/>
        <v>Good</v>
      </c>
    </row>
    <row r="340" spans="1:16" x14ac:dyDescent="0.35">
      <c r="A340" s="8">
        <v>339</v>
      </c>
      <c r="B340" s="9">
        <v>44610</v>
      </c>
      <c r="C340" s="8" t="s">
        <v>366</v>
      </c>
      <c r="D340" s="8" t="s">
        <v>16</v>
      </c>
      <c r="E340" s="10">
        <v>219.74</v>
      </c>
      <c r="F340" s="8">
        <v>15</v>
      </c>
      <c r="G340" s="8">
        <v>3</v>
      </c>
      <c r="H340" s="8" t="s">
        <v>21</v>
      </c>
      <c r="I340" s="8" t="s">
        <v>26</v>
      </c>
      <c r="J340" s="8">
        <v>2.2000000000000002</v>
      </c>
      <c r="K340" s="8">
        <v>208</v>
      </c>
      <c r="L340" s="10">
        <v>186.78</v>
      </c>
      <c r="M340" s="10">
        <v>560.34</v>
      </c>
      <c r="O340" s="14" t="str">
        <f t="shared" si="10"/>
        <v>Low</v>
      </c>
      <c r="P340" s="12" t="str">
        <f t="shared" si="11"/>
        <v>Poor</v>
      </c>
    </row>
    <row r="341" spans="1:16" x14ac:dyDescent="0.35">
      <c r="A341" s="8">
        <v>340</v>
      </c>
      <c r="B341" s="9">
        <v>45073</v>
      </c>
      <c r="C341" s="8" t="s">
        <v>367</v>
      </c>
      <c r="D341" s="8" t="s">
        <v>27</v>
      </c>
      <c r="E341" s="10">
        <v>186.63</v>
      </c>
      <c r="F341" s="8">
        <v>10</v>
      </c>
      <c r="G341" s="8">
        <v>4</v>
      </c>
      <c r="H341" s="8" t="s">
        <v>17</v>
      </c>
      <c r="I341" s="8" t="s">
        <v>18</v>
      </c>
      <c r="J341" s="8">
        <v>2.8</v>
      </c>
      <c r="K341" s="8">
        <v>235</v>
      </c>
      <c r="L341" s="10">
        <v>167.97</v>
      </c>
      <c r="M341" s="10">
        <v>671.88</v>
      </c>
      <c r="O341" s="14" t="str">
        <f t="shared" si="10"/>
        <v>Low</v>
      </c>
      <c r="P341" s="12" t="str">
        <f t="shared" si="11"/>
        <v>Poor</v>
      </c>
    </row>
    <row r="342" spans="1:16" x14ac:dyDescent="0.35">
      <c r="A342" s="8">
        <v>341</v>
      </c>
      <c r="B342" s="9">
        <v>44578</v>
      </c>
      <c r="C342" s="8" t="s">
        <v>368</v>
      </c>
      <c r="D342" s="8" t="s">
        <v>13</v>
      </c>
      <c r="E342" s="10">
        <v>100.56</v>
      </c>
      <c r="F342" s="8">
        <v>0</v>
      </c>
      <c r="G342" s="8">
        <v>2</v>
      </c>
      <c r="H342" s="8" t="s">
        <v>14</v>
      </c>
      <c r="I342" s="8" t="s">
        <v>23</v>
      </c>
      <c r="J342" s="8">
        <v>2.2000000000000002</v>
      </c>
      <c r="K342" s="8">
        <v>8</v>
      </c>
      <c r="L342" s="10">
        <v>100.56</v>
      </c>
      <c r="M342" s="10">
        <v>201.12</v>
      </c>
      <c r="O342" s="14" t="str">
        <f t="shared" si="10"/>
        <v>Low</v>
      </c>
      <c r="P342" s="12" t="str">
        <f t="shared" si="11"/>
        <v>Poor</v>
      </c>
    </row>
    <row r="343" spans="1:16" x14ac:dyDescent="0.35">
      <c r="A343" s="8">
        <v>342</v>
      </c>
      <c r="B343" s="9">
        <v>44733</v>
      </c>
      <c r="C343" s="8" t="s">
        <v>369</v>
      </c>
      <c r="D343" s="8" t="s">
        <v>19</v>
      </c>
      <c r="E343" s="10">
        <v>257.82</v>
      </c>
      <c r="F343" s="8">
        <v>30</v>
      </c>
      <c r="G343" s="8">
        <v>4</v>
      </c>
      <c r="H343" s="8" t="s">
        <v>20</v>
      </c>
      <c r="I343" s="8" t="s">
        <v>26</v>
      </c>
      <c r="J343" s="8">
        <v>5</v>
      </c>
      <c r="K343" s="8">
        <v>116</v>
      </c>
      <c r="L343" s="10">
        <v>180.47</v>
      </c>
      <c r="M343" s="10">
        <v>721.88</v>
      </c>
      <c r="O343" s="14" t="str">
        <f t="shared" si="10"/>
        <v>Low</v>
      </c>
      <c r="P343" s="12" t="str">
        <f t="shared" si="11"/>
        <v>Excellent</v>
      </c>
    </row>
    <row r="344" spans="1:16" x14ac:dyDescent="0.35">
      <c r="A344" s="8">
        <v>343</v>
      </c>
      <c r="B344" s="9">
        <v>44781</v>
      </c>
      <c r="C344" s="8" t="s">
        <v>370</v>
      </c>
      <c r="D344" s="8" t="s">
        <v>25</v>
      </c>
      <c r="E344" s="10">
        <v>346.68</v>
      </c>
      <c r="F344" s="8">
        <v>0</v>
      </c>
      <c r="G344" s="8">
        <v>1</v>
      </c>
      <c r="H344" s="8" t="s">
        <v>14</v>
      </c>
      <c r="I344" s="8" t="s">
        <v>24</v>
      </c>
      <c r="J344" s="8">
        <v>3.3</v>
      </c>
      <c r="K344" s="8">
        <v>433</v>
      </c>
      <c r="L344" s="10">
        <v>346.68</v>
      </c>
      <c r="M344" s="10">
        <v>346.68</v>
      </c>
      <c r="O344" s="14" t="str">
        <f t="shared" si="10"/>
        <v>Low</v>
      </c>
      <c r="P344" s="12" t="str">
        <f t="shared" si="11"/>
        <v>Good</v>
      </c>
    </row>
    <row r="345" spans="1:16" x14ac:dyDescent="0.35">
      <c r="A345" s="8">
        <v>344</v>
      </c>
      <c r="B345" s="9">
        <v>44719</v>
      </c>
      <c r="C345" s="8" t="s">
        <v>371</v>
      </c>
      <c r="D345" s="8" t="s">
        <v>16</v>
      </c>
      <c r="E345" s="10">
        <v>407.42</v>
      </c>
      <c r="F345" s="8">
        <v>5</v>
      </c>
      <c r="G345" s="8">
        <v>5</v>
      </c>
      <c r="H345" s="8" t="s">
        <v>21</v>
      </c>
      <c r="I345" s="8" t="s">
        <v>24</v>
      </c>
      <c r="J345" s="8">
        <v>4.0999999999999996</v>
      </c>
      <c r="K345" s="8">
        <v>444</v>
      </c>
      <c r="L345" s="10">
        <v>387.05</v>
      </c>
      <c r="M345" s="10">
        <v>1935.25</v>
      </c>
      <c r="O345" s="14" t="str">
        <f t="shared" si="10"/>
        <v>High</v>
      </c>
      <c r="P345" s="12" t="str">
        <f t="shared" si="11"/>
        <v>Good</v>
      </c>
    </row>
    <row r="346" spans="1:16" x14ac:dyDescent="0.35">
      <c r="A346" s="8">
        <v>345</v>
      </c>
      <c r="B346" s="9">
        <v>45038</v>
      </c>
      <c r="C346" s="8" t="s">
        <v>372</v>
      </c>
      <c r="D346" s="8" t="s">
        <v>16</v>
      </c>
      <c r="E346" s="10">
        <v>233.81</v>
      </c>
      <c r="F346" s="8">
        <v>20</v>
      </c>
      <c r="G346" s="8">
        <v>1</v>
      </c>
      <c r="H346" s="8" t="s">
        <v>17</v>
      </c>
      <c r="I346" s="8" t="s">
        <v>15</v>
      </c>
      <c r="J346" s="8">
        <v>2.2000000000000002</v>
      </c>
      <c r="K346" s="8">
        <v>291</v>
      </c>
      <c r="L346" s="10">
        <v>187.05</v>
      </c>
      <c r="M346" s="10">
        <v>187.05</v>
      </c>
      <c r="O346" s="14" t="str">
        <f t="shared" si="10"/>
        <v>Low</v>
      </c>
      <c r="P346" s="12" t="str">
        <f t="shared" si="11"/>
        <v>Poor</v>
      </c>
    </row>
    <row r="347" spans="1:16" x14ac:dyDescent="0.35">
      <c r="A347" s="8">
        <v>346</v>
      </c>
      <c r="B347" s="9">
        <v>44607</v>
      </c>
      <c r="C347" s="8" t="s">
        <v>373</v>
      </c>
      <c r="D347" s="8" t="s">
        <v>22</v>
      </c>
      <c r="E347" s="10">
        <v>123.75</v>
      </c>
      <c r="F347" s="8">
        <v>0</v>
      </c>
      <c r="G347" s="8">
        <v>1</v>
      </c>
      <c r="H347" s="8" t="s">
        <v>20</v>
      </c>
      <c r="I347" s="8" t="s">
        <v>18</v>
      </c>
      <c r="J347" s="8">
        <v>1.2</v>
      </c>
      <c r="K347" s="8">
        <v>190</v>
      </c>
      <c r="L347" s="10">
        <v>123.75</v>
      </c>
      <c r="M347" s="10">
        <v>123.75</v>
      </c>
      <c r="O347" s="14" t="str">
        <f t="shared" si="10"/>
        <v>Low</v>
      </c>
      <c r="P347" s="12" t="str">
        <f t="shared" si="11"/>
        <v>Poor</v>
      </c>
    </row>
    <row r="348" spans="1:16" x14ac:dyDescent="0.35">
      <c r="A348" s="8">
        <v>347</v>
      </c>
      <c r="B348" s="9">
        <v>44934</v>
      </c>
      <c r="C348" s="8" t="s">
        <v>374</v>
      </c>
      <c r="D348" s="8" t="s">
        <v>19</v>
      </c>
      <c r="E348" s="10">
        <v>108.9</v>
      </c>
      <c r="F348" s="8">
        <v>0</v>
      </c>
      <c r="G348" s="8">
        <v>2</v>
      </c>
      <c r="H348" s="8" t="s">
        <v>17</v>
      </c>
      <c r="I348" s="8" t="s">
        <v>26</v>
      </c>
      <c r="J348" s="8">
        <v>4.5999999999999996</v>
      </c>
      <c r="K348" s="8">
        <v>209</v>
      </c>
      <c r="L348" s="10">
        <v>108.9</v>
      </c>
      <c r="M348" s="10">
        <v>217.8</v>
      </c>
      <c r="O348" s="14" t="str">
        <f t="shared" si="10"/>
        <v>Low</v>
      </c>
      <c r="P348" s="12" t="str">
        <f t="shared" si="11"/>
        <v>Excellent</v>
      </c>
    </row>
    <row r="349" spans="1:16" x14ac:dyDescent="0.35">
      <c r="A349" s="8">
        <v>348</v>
      </c>
      <c r="B349" s="9">
        <v>45079</v>
      </c>
      <c r="C349" s="8" t="s">
        <v>375</v>
      </c>
      <c r="D349" s="8" t="s">
        <v>25</v>
      </c>
      <c r="E349" s="10">
        <v>291.7</v>
      </c>
      <c r="F349" s="8">
        <v>10</v>
      </c>
      <c r="G349" s="8">
        <v>2</v>
      </c>
      <c r="H349" s="8" t="s">
        <v>20</v>
      </c>
      <c r="I349" s="8" t="s">
        <v>23</v>
      </c>
      <c r="J349" s="8">
        <v>2.5</v>
      </c>
      <c r="K349" s="8">
        <v>73</v>
      </c>
      <c r="L349" s="10">
        <v>262.52999999999997</v>
      </c>
      <c r="M349" s="10">
        <v>525.05999999999995</v>
      </c>
      <c r="O349" s="14" t="str">
        <f t="shared" si="10"/>
        <v>Low</v>
      </c>
      <c r="P349" s="12" t="str">
        <f t="shared" si="11"/>
        <v>Poor</v>
      </c>
    </row>
    <row r="350" spans="1:16" x14ac:dyDescent="0.35">
      <c r="A350" s="8">
        <v>349</v>
      </c>
      <c r="B350" s="9">
        <v>44660</v>
      </c>
      <c r="C350" s="8" t="s">
        <v>376</v>
      </c>
      <c r="D350" s="8" t="s">
        <v>22</v>
      </c>
      <c r="E350" s="10">
        <v>197.68</v>
      </c>
      <c r="F350" s="8">
        <v>5</v>
      </c>
      <c r="G350" s="8">
        <v>3</v>
      </c>
      <c r="H350" s="8" t="s">
        <v>17</v>
      </c>
      <c r="I350" s="8" t="s">
        <v>23</v>
      </c>
      <c r="J350" s="8">
        <v>3.2</v>
      </c>
      <c r="K350" s="8">
        <v>371</v>
      </c>
      <c r="L350" s="10">
        <v>187.8</v>
      </c>
      <c r="M350" s="10">
        <v>563.4</v>
      </c>
      <c r="O350" s="14" t="str">
        <f t="shared" si="10"/>
        <v>Low</v>
      </c>
      <c r="P350" s="12" t="str">
        <f t="shared" si="11"/>
        <v>Good</v>
      </c>
    </row>
    <row r="351" spans="1:16" x14ac:dyDescent="0.35">
      <c r="A351" s="8">
        <v>350</v>
      </c>
      <c r="B351" s="9">
        <v>44598</v>
      </c>
      <c r="C351" s="8" t="s">
        <v>377</v>
      </c>
      <c r="D351" s="8" t="s">
        <v>25</v>
      </c>
      <c r="E351" s="10">
        <v>162.19</v>
      </c>
      <c r="F351" s="8">
        <v>5</v>
      </c>
      <c r="G351" s="8">
        <v>5</v>
      </c>
      <c r="H351" s="8" t="s">
        <v>20</v>
      </c>
      <c r="I351" s="8" t="s">
        <v>23</v>
      </c>
      <c r="J351" s="8">
        <v>2.9</v>
      </c>
      <c r="K351" s="8">
        <v>1</v>
      </c>
      <c r="L351" s="10">
        <v>154.08000000000001</v>
      </c>
      <c r="M351" s="10">
        <v>770.4</v>
      </c>
      <c r="O351" s="14" t="str">
        <f t="shared" si="10"/>
        <v>Low</v>
      </c>
      <c r="P351" s="12" t="str">
        <f t="shared" si="11"/>
        <v>Poor</v>
      </c>
    </row>
    <row r="352" spans="1:16" x14ac:dyDescent="0.35">
      <c r="A352" s="8">
        <v>351</v>
      </c>
      <c r="B352" s="9">
        <v>44841</v>
      </c>
      <c r="C352" s="8" t="s">
        <v>378</v>
      </c>
      <c r="D352" s="8" t="s">
        <v>16</v>
      </c>
      <c r="E352" s="10">
        <v>263.87</v>
      </c>
      <c r="F352" s="8">
        <v>15</v>
      </c>
      <c r="G352" s="8">
        <v>5</v>
      </c>
      <c r="H352" s="8" t="s">
        <v>21</v>
      </c>
      <c r="I352" s="8" t="s">
        <v>24</v>
      </c>
      <c r="J352" s="8">
        <v>2.1</v>
      </c>
      <c r="K352" s="8">
        <v>236</v>
      </c>
      <c r="L352" s="10">
        <v>224.29</v>
      </c>
      <c r="M352" s="10">
        <v>1121.45</v>
      </c>
      <c r="O352" s="14" t="str">
        <f t="shared" si="10"/>
        <v>High</v>
      </c>
      <c r="P352" s="12" t="str">
        <f t="shared" si="11"/>
        <v>Poor</v>
      </c>
    </row>
    <row r="353" spans="1:16" x14ac:dyDescent="0.35">
      <c r="A353" s="8">
        <v>352</v>
      </c>
      <c r="B353" s="9">
        <v>44910</v>
      </c>
      <c r="C353" s="8" t="s">
        <v>379</v>
      </c>
      <c r="D353" s="8" t="s">
        <v>16</v>
      </c>
      <c r="E353" s="10">
        <v>280.43</v>
      </c>
      <c r="F353" s="8">
        <v>0</v>
      </c>
      <c r="G353" s="8">
        <v>5</v>
      </c>
      <c r="H353" s="8" t="s">
        <v>17</v>
      </c>
      <c r="I353" s="8" t="s">
        <v>23</v>
      </c>
      <c r="J353" s="8">
        <v>1.7</v>
      </c>
      <c r="K353" s="8">
        <v>139</v>
      </c>
      <c r="L353" s="10">
        <v>280.43</v>
      </c>
      <c r="M353" s="10">
        <v>1402.15</v>
      </c>
      <c r="O353" s="14" t="str">
        <f t="shared" si="10"/>
        <v>High</v>
      </c>
      <c r="P353" s="12" t="str">
        <f t="shared" si="11"/>
        <v>Poor</v>
      </c>
    </row>
    <row r="354" spans="1:16" x14ac:dyDescent="0.35">
      <c r="A354" s="8">
        <v>353</v>
      </c>
      <c r="B354" s="9">
        <v>45058</v>
      </c>
      <c r="C354" s="8" t="s">
        <v>380</v>
      </c>
      <c r="D354" s="8" t="s">
        <v>27</v>
      </c>
      <c r="E354" s="10">
        <v>120.75</v>
      </c>
      <c r="F354" s="8">
        <v>0</v>
      </c>
      <c r="G354" s="8">
        <v>5</v>
      </c>
      <c r="H354" s="8" t="s">
        <v>17</v>
      </c>
      <c r="I354" s="8" t="s">
        <v>26</v>
      </c>
      <c r="J354" s="8">
        <v>4.5</v>
      </c>
      <c r="K354" s="8">
        <v>366</v>
      </c>
      <c r="L354" s="10">
        <v>120.75</v>
      </c>
      <c r="M354" s="10">
        <v>603.75</v>
      </c>
      <c r="O354" s="14" t="str">
        <f t="shared" si="10"/>
        <v>Low</v>
      </c>
      <c r="P354" s="12" t="str">
        <f t="shared" si="11"/>
        <v>Excellent</v>
      </c>
    </row>
    <row r="355" spans="1:16" x14ac:dyDescent="0.35">
      <c r="A355" s="8">
        <v>354</v>
      </c>
      <c r="B355" s="9">
        <v>44863</v>
      </c>
      <c r="C355" s="8" t="s">
        <v>381</v>
      </c>
      <c r="D355" s="8" t="s">
        <v>13</v>
      </c>
      <c r="E355" s="10">
        <v>192.26</v>
      </c>
      <c r="F355" s="8">
        <v>30</v>
      </c>
      <c r="G355" s="8">
        <v>5</v>
      </c>
      <c r="H355" s="8" t="s">
        <v>17</v>
      </c>
      <c r="I355" s="8" t="s">
        <v>26</v>
      </c>
      <c r="J355" s="8">
        <v>4.8</v>
      </c>
      <c r="K355" s="8">
        <v>359</v>
      </c>
      <c r="L355" s="10">
        <v>134.58000000000001</v>
      </c>
      <c r="M355" s="10">
        <v>672.9</v>
      </c>
      <c r="O355" s="14" t="str">
        <f t="shared" si="10"/>
        <v>Low</v>
      </c>
      <c r="P355" s="12" t="str">
        <f t="shared" si="11"/>
        <v>Excellent</v>
      </c>
    </row>
    <row r="356" spans="1:16" x14ac:dyDescent="0.35">
      <c r="A356" s="8">
        <v>355</v>
      </c>
      <c r="B356" s="9">
        <v>44742</v>
      </c>
      <c r="C356" s="8" t="s">
        <v>382</v>
      </c>
      <c r="D356" s="8" t="s">
        <v>27</v>
      </c>
      <c r="E356" s="10">
        <v>355.31</v>
      </c>
      <c r="F356" s="8">
        <v>30</v>
      </c>
      <c r="G356" s="8">
        <v>4</v>
      </c>
      <c r="H356" s="8" t="s">
        <v>14</v>
      </c>
      <c r="I356" s="8" t="s">
        <v>23</v>
      </c>
      <c r="J356" s="8">
        <v>4.5999999999999996</v>
      </c>
      <c r="K356" s="8">
        <v>334</v>
      </c>
      <c r="L356" s="10">
        <v>248.72</v>
      </c>
      <c r="M356" s="10">
        <v>994.88</v>
      </c>
      <c r="O356" s="14" t="str">
        <f t="shared" si="10"/>
        <v>Low</v>
      </c>
      <c r="P356" s="12" t="str">
        <f t="shared" si="11"/>
        <v>Excellent</v>
      </c>
    </row>
    <row r="357" spans="1:16" x14ac:dyDescent="0.35">
      <c r="A357" s="8">
        <v>356</v>
      </c>
      <c r="B357" s="9">
        <v>45168</v>
      </c>
      <c r="C357" s="8" t="s">
        <v>383</v>
      </c>
      <c r="D357" s="8" t="s">
        <v>25</v>
      </c>
      <c r="E357" s="10">
        <v>196.76</v>
      </c>
      <c r="F357" s="8">
        <v>20</v>
      </c>
      <c r="G357" s="8">
        <v>1</v>
      </c>
      <c r="H357" s="8" t="s">
        <v>21</v>
      </c>
      <c r="I357" s="8" t="s">
        <v>23</v>
      </c>
      <c r="J357" s="8">
        <v>3.1</v>
      </c>
      <c r="K357" s="8">
        <v>215</v>
      </c>
      <c r="L357" s="10">
        <v>157.41</v>
      </c>
      <c r="M357" s="10">
        <v>157.41</v>
      </c>
      <c r="O357" s="14" t="str">
        <f t="shared" si="10"/>
        <v>Low</v>
      </c>
      <c r="P357" s="12" t="str">
        <f t="shared" si="11"/>
        <v>Good</v>
      </c>
    </row>
    <row r="358" spans="1:16" x14ac:dyDescent="0.35">
      <c r="A358" s="8">
        <v>357</v>
      </c>
      <c r="B358" s="9">
        <v>44660</v>
      </c>
      <c r="C358" s="8" t="s">
        <v>384</v>
      </c>
      <c r="D358" s="8" t="s">
        <v>25</v>
      </c>
      <c r="E358" s="10">
        <v>224.83</v>
      </c>
      <c r="F358" s="8">
        <v>10</v>
      </c>
      <c r="G358" s="8">
        <v>2</v>
      </c>
      <c r="H358" s="8" t="s">
        <v>14</v>
      </c>
      <c r="I358" s="8" t="s">
        <v>26</v>
      </c>
      <c r="J358" s="8">
        <v>3.6</v>
      </c>
      <c r="K358" s="8">
        <v>152</v>
      </c>
      <c r="L358" s="10">
        <v>202.35</v>
      </c>
      <c r="M358" s="10">
        <v>404.7</v>
      </c>
      <c r="O358" s="14" t="str">
        <f t="shared" si="10"/>
        <v>Low</v>
      </c>
      <c r="P358" s="12" t="str">
        <f t="shared" si="11"/>
        <v>Good</v>
      </c>
    </row>
    <row r="359" spans="1:16" x14ac:dyDescent="0.35">
      <c r="A359" s="8">
        <v>358</v>
      </c>
      <c r="B359" s="9">
        <v>45261</v>
      </c>
      <c r="C359" s="8" t="s">
        <v>385</v>
      </c>
      <c r="D359" s="8" t="s">
        <v>25</v>
      </c>
      <c r="E359" s="10">
        <v>321.81</v>
      </c>
      <c r="F359" s="8">
        <v>0</v>
      </c>
      <c r="G359" s="8">
        <v>5</v>
      </c>
      <c r="H359" s="8" t="s">
        <v>21</v>
      </c>
      <c r="I359" s="8" t="s">
        <v>23</v>
      </c>
      <c r="J359" s="8">
        <v>1.6</v>
      </c>
      <c r="K359" s="8">
        <v>276</v>
      </c>
      <c r="L359" s="10">
        <v>321.81</v>
      </c>
      <c r="M359" s="10">
        <v>1609.05</v>
      </c>
      <c r="O359" s="14" t="str">
        <f t="shared" si="10"/>
        <v>High</v>
      </c>
      <c r="P359" s="12" t="str">
        <f t="shared" si="11"/>
        <v>Poor</v>
      </c>
    </row>
    <row r="360" spans="1:16" x14ac:dyDescent="0.35">
      <c r="A360" s="8">
        <v>359</v>
      </c>
      <c r="B360" s="9">
        <v>44677</v>
      </c>
      <c r="C360" s="8" t="s">
        <v>386</v>
      </c>
      <c r="D360" s="8" t="s">
        <v>19</v>
      </c>
      <c r="E360" s="10">
        <v>99.45</v>
      </c>
      <c r="F360" s="8">
        <v>20</v>
      </c>
      <c r="G360" s="8">
        <v>5</v>
      </c>
      <c r="H360" s="8" t="s">
        <v>17</v>
      </c>
      <c r="I360" s="8" t="s">
        <v>18</v>
      </c>
      <c r="J360" s="8">
        <v>2.4</v>
      </c>
      <c r="K360" s="8">
        <v>373</v>
      </c>
      <c r="L360" s="10">
        <v>79.56</v>
      </c>
      <c r="M360" s="10">
        <v>397.8</v>
      </c>
      <c r="O360" s="14" t="str">
        <f t="shared" si="10"/>
        <v>Low</v>
      </c>
      <c r="P360" s="12" t="str">
        <f t="shared" si="11"/>
        <v>Poor</v>
      </c>
    </row>
    <row r="361" spans="1:16" x14ac:dyDescent="0.35">
      <c r="A361" s="8">
        <v>360</v>
      </c>
      <c r="B361" s="9">
        <v>44752</v>
      </c>
      <c r="C361" s="8" t="s">
        <v>387</v>
      </c>
      <c r="D361" s="8" t="s">
        <v>25</v>
      </c>
      <c r="E361" s="10">
        <v>434.06</v>
      </c>
      <c r="F361" s="8">
        <v>5</v>
      </c>
      <c r="G361" s="8">
        <v>2</v>
      </c>
      <c r="H361" s="8" t="s">
        <v>17</v>
      </c>
      <c r="I361" s="8" t="s">
        <v>23</v>
      </c>
      <c r="J361" s="8">
        <v>1</v>
      </c>
      <c r="K361" s="8">
        <v>74</v>
      </c>
      <c r="L361" s="10">
        <v>412.36</v>
      </c>
      <c r="M361" s="10">
        <v>824.72</v>
      </c>
      <c r="O361" s="14" t="str">
        <f t="shared" si="10"/>
        <v>Low</v>
      </c>
      <c r="P361" s="12" t="str">
        <f t="shared" si="11"/>
        <v>Poor</v>
      </c>
    </row>
    <row r="362" spans="1:16" x14ac:dyDescent="0.35">
      <c r="A362" s="8">
        <v>361</v>
      </c>
      <c r="B362" s="9">
        <v>44814</v>
      </c>
      <c r="C362" s="8" t="s">
        <v>388</v>
      </c>
      <c r="D362" s="8" t="s">
        <v>13</v>
      </c>
      <c r="E362" s="10">
        <v>172.51</v>
      </c>
      <c r="F362" s="8">
        <v>10</v>
      </c>
      <c r="G362" s="8">
        <v>3</v>
      </c>
      <c r="H362" s="8" t="s">
        <v>17</v>
      </c>
      <c r="I362" s="8" t="s">
        <v>15</v>
      </c>
      <c r="J362" s="8">
        <v>3.1</v>
      </c>
      <c r="K362" s="8">
        <v>208</v>
      </c>
      <c r="L362" s="10">
        <v>155.26</v>
      </c>
      <c r="M362" s="10">
        <v>465.78</v>
      </c>
      <c r="O362" s="14" t="str">
        <f t="shared" si="10"/>
        <v>Low</v>
      </c>
      <c r="P362" s="12" t="str">
        <f t="shared" si="11"/>
        <v>Good</v>
      </c>
    </row>
    <row r="363" spans="1:16" x14ac:dyDescent="0.35">
      <c r="A363" s="8">
        <v>362</v>
      </c>
      <c r="B363" s="9">
        <v>44722</v>
      </c>
      <c r="C363" s="8" t="s">
        <v>389</v>
      </c>
      <c r="D363" s="8" t="s">
        <v>16</v>
      </c>
      <c r="E363" s="10">
        <v>345.39</v>
      </c>
      <c r="F363" s="8">
        <v>0</v>
      </c>
      <c r="G363" s="8">
        <v>4</v>
      </c>
      <c r="H363" s="8" t="s">
        <v>17</v>
      </c>
      <c r="I363" s="8" t="s">
        <v>18</v>
      </c>
      <c r="J363" s="8">
        <v>2.7</v>
      </c>
      <c r="K363" s="8">
        <v>24</v>
      </c>
      <c r="L363" s="10">
        <v>345.39</v>
      </c>
      <c r="M363" s="10">
        <v>1381.56</v>
      </c>
      <c r="O363" s="14" t="str">
        <f t="shared" si="10"/>
        <v>High</v>
      </c>
      <c r="P363" s="12" t="str">
        <f t="shared" si="11"/>
        <v>Poor</v>
      </c>
    </row>
    <row r="364" spans="1:16" x14ac:dyDescent="0.35">
      <c r="A364" s="8">
        <v>363</v>
      </c>
      <c r="B364" s="9">
        <v>44817</v>
      </c>
      <c r="C364" s="8" t="s">
        <v>390</v>
      </c>
      <c r="D364" s="8" t="s">
        <v>27</v>
      </c>
      <c r="E364" s="10">
        <v>152.12</v>
      </c>
      <c r="F364" s="8">
        <v>0</v>
      </c>
      <c r="G364" s="8">
        <v>1</v>
      </c>
      <c r="H364" s="8" t="s">
        <v>20</v>
      </c>
      <c r="I364" s="8" t="s">
        <v>24</v>
      </c>
      <c r="J364" s="8">
        <v>3.5</v>
      </c>
      <c r="K364" s="8">
        <v>73</v>
      </c>
      <c r="L364" s="10">
        <v>152.12</v>
      </c>
      <c r="M364" s="10">
        <v>152.12</v>
      </c>
      <c r="O364" s="14" t="str">
        <f t="shared" si="10"/>
        <v>Low</v>
      </c>
      <c r="P364" s="12" t="str">
        <f t="shared" si="11"/>
        <v>Good</v>
      </c>
    </row>
    <row r="365" spans="1:16" x14ac:dyDescent="0.35">
      <c r="A365" s="8">
        <v>364</v>
      </c>
      <c r="B365" s="9">
        <v>44884</v>
      </c>
      <c r="C365" s="8" t="s">
        <v>391</v>
      </c>
      <c r="D365" s="8" t="s">
        <v>16</v>
      </c>
      <c r="E365" s="10">
        <v>325.83</v>
      </c>
      <c r="F365" s="8">
        <v>30</v>
      </c>
      <c r="G365" s="8">
        <v>3</v>
      </c>
      <c r="H365" s="8" t="s">
        <v>20</v>
      </c>
      <c r="I365" s="8" t="s">
        <v>26</v>
      </c>
      <c r="J365" s="8">
        <v>2.2000000000000002</v>
      </c>
      <c r="K365" s="8">
        <v>382</v>
      </c>
      <c r="L365" s="10">
        <v>228.08</v>
      </c>
      <c r="M365" s="10">
        <v>684.24</v>
      </c>
      <c r="O365" s="14" t="str">
        <f t="shared" si="10"/>
        <v>Low</v>
      </c>
      <c r="P365" s="12" t="str">
        <f t="shared" si="11"/>
        <v>Poor</v>
      </c>
    </row>
    <row r="366" spans="1:16" x14ac:dyDescent="0.35">
      <c r="A366" s="8">
        <v>365</v>
      </c>
      <c r="B366" s="9">
        <v>44689</v>
      </c>
      <c r="C366" s="8" t="s">
        <v>392</v>
      </c>
      <c r="D366" s="8" t="s">
        <v>19</v>
      </c>
      <c r="E366" s="10">
        <v>142.29</v>
      </c>
      <c r="F366" s="8">
        <v>10</v>
      </c>
      <c r="G366" s="8">
        <v>1</v>
      </c>
      <c r="H366" s="8" t="s">
        <v>17</v>
      </c>
      <c r="I366" s="8" t="s">
        <v>23</v>
      </c>
      <c r="J366" s="8">
        <v>2.5</v>
      </c>
      <c r="K366" s="8">
        <v>451</v>
      </c>
      <c r="L366" s="10">
        <v>128.06</v>
      </c>
      <c r="M366" s="10">
        <v>128.06</v>
      </c>
      <c r="O366" s="14" t="str">
        <f t="shared" si="10"/>
        <v>Low</v>
      </c>
      <c r="P366" s="12" t="str">
        <f t="shared" si="11"/>
        <v>Poor</v>
      </c>
    </row>
    <row r="367" spans="1:16" x14ac:dyDescent="0.35">
      <c r="A367" s="8">
        <v>366</v>
      </c>
      <c r="B367" s="9">
        <v>44579</v>
      </c>
      <c r="C367" s="8" t="s">
        <v>393</v>
      </c>
      <c r="D367" s="8" t="s">
        <v>22</v>
      </c>
      <c r="E367" s="10">
        <v>375.28</v>
      </c>
      <c r="F367" s="8">
        <v>30</v>
      </c>
      <c r="G367" s="8">
        <v>4</v>
      </c>
      <c r="H367" s="8" t="s">
        <v>17</v>
      </c>
      <c r="I367" s="8" t="s">
        <v>23</v>
      </c>
      <c r="J367" s="8">
        <v>3.7</v>
      </c>
      <c r="K367" s="8">
        <v>80</v>
      </c>
      <c r="L367" s="10">
        <v>262.7</v>
      </c>
      <c r="M367" s="10">
        <v>1050.8</v>
      </c>
      <c r="O367" s="14" t="str">
        <f t="shared" si="10"/>
        <v>High</v>
      </c>
      <c r="P367" s="12" t="str">
        <f t="shared" si="11"/>
        <v>Good</v>
      </c>
    </row>
    <row r="368" spans="1:16" x14ac:dyDescent="0.35">
      <c r="A368" s="8">
        <v>367</v>
      </c>
      <c r="B368" s="9">
        <v>45127</v>
      </c>
      <c r="C368" s="8" t="s">
        <v>394</v>
      </c>
      <c r="D368" s="8" t="s">
        <v>27</v>
      </c>
      <c r="E368" s="10">
        <v>56.9</v>
      </c>
      <c r="F368" s="8">
        <v>20</v>
      </c>
      <c r="G368" s="8">
        <v>4</v>
      </c>
      <c r="H368" s="8" t="s">
        <v>17</v>
      </c>
      <c r="I368" s="8" t="s">
        <v>24</v>
      </c>
      <c r="J368" s="8">
        <v>1.6</v>
      </c>
      <c r="K368" s="8">
        <v>23</v>
      </c>
      <c r="L368" s="10">
        <v>45.52</v>
      </c>
      <c r="M368" s="10">
        <v>182.08</v>
      </c>
      <c r="O368" s="14" t="str">
        <f t="shared" si="10"/>
        <v>Low</v>
      </c>
      <c r="P368" s="12" t="str">
        <f t="shared" si="11"/>
        <v>Poor</v>
      </c>
    </row>
    <row r="369" spans="1:16" x14ac:dyDescent="0.35">
      <c r="A369" s="8">
        <v>368</v>
      </c>
      <c r="B369" s="9">
        <v>45131</v>
      </c>
      <c r="C369" s="8" t="s">
        <v>395</v>
      </c>
      <c r="D369" s="8" t="s">
        <v>19</v>
      </c>
      <c r="E369" s="10">
        <v>157.21</v>
      </c>
      <c r="F369" s="8">
        <v>5</v>
      </c>
      <c r="G369" s="8">
        <v>3</v>
      </c>
      <c r="H369" s="8" t="s">
        <v>17</v>
      </c>
      <c r="I369" s="8" t="s">
        <v>26</v>
      </c>
      <c r="J369" s="8">
        <v>3.5</v>
      </c>
      <c r="K369" s="8">
        <v>353</v>
      </c>
      <c r="L369" s="10">
        <v>149.35</v>
      </c>
      <c r="M369" s="10">
        <v>448.05</v>
      </c>
      <c r="O369" s="14" t="str">
        <f t="shared" si="10"/>
        <v>Low</v>
      </c>
      <c r="P369" s="12" t="str">
        <f t="shared" si="11"/>
        <v>Good</v>
      </c>
    </row>
    <row r="370" spans="1:16" x14ac:dyDescent="0.35">
      <c r="A370" s="8">
        <v>369</v>
      </c>
      <c r="B370" s="9">
        <v>44884</v>
      </c>
      <c r="C370" s="8" t="s">
        <v>396</v>
      </c>
      <c r="D370" s="8" t="s">
        <v>25</v>
      </c>
      <c r="E370" s="10">
        <v>285.92</v>
      </c>
      <c r="F370" s="8">
        <v>20</v>
      </c>
      <c r="G370" s="8">
        <v>4</v>
      </c>
      <c r="H370" s="8" t="s">
        <v>14</v>
      </c>
      <c r="I370" s="8" t="s">
        <v>23</v>
      </c>
      <c r="J370" s="8">
        <v>4.5999999999999996</v>
      </c>
      <c r="K370" s="8">
        <v>492</v>
      </c>
      <c r="L370" s="10">
        <v>228.74</v>
      </c>
      <c r="M370" s="10">
        <v>914.96</v>
      </c>
      <c r="O370" s="14" t="str">
        <f t="shared" si="10"/>
        <v>Low</v>
      </c>
      <c r="P370" s="12" t="str">
        <f t="shared" si="11"/>
        <v>Excellent</v>
      </c>
    </row>
    <row r="371" spans="1:16" x14ac:dyDescent="0.35">
      <c r="A371" s="8">
        <v>370</v>
      </c>
      <c r="B371" s="9">
        <v>45247</v>
      </c>
      <c r="C371" s="8" t="s">
        <v>397</v>
      </c>
      <c r="D371" s="8" t="s">
        <v>25</v>
      </c>
      <c r="E371" s="10">
        <v>318.43</v>
      </c>
      <c r="F371" s="8">
        <v>15</v>
      </c>
      <c r="G371" s="8">
        <v>2</v>
      </c>
      <c r="H371" s="8" t="s">
        <v>17</v>
      </c>
      <c r="I371" s="8" t="s">
        <v>24</v>
      </c>
      <c r="J371" s="8">
        <v>3.4</v>
      </c>
      <c r="K371" s="8">
        <v>48</v>
      </c>
      <c r="L371" s="10">
        <v>270.67</v>
      </c>
      <c r="M371" s="10">
        <v>541.34</v>
      </c>
      <c r="O371" s="14" t="str">
        <f t="shared" si="10"/>
        <v>Low</v>
      </c>
      <c r="P371" s="12" t="str">
        <f t="shared" si="11"/>
        <v>Good</v>
      </c>
    </row>
    <row r="372" spans="1:16" x14ac:dyDescent="0.35">
      <c r="A372" s="8">
        <v>371</v>
      </c>
      <c r="B372" s="9">
        <v>45187</v>
      </c>
      <c r="C372" s="8" t="s">
        <v>398</v>
      </c>
      <c r="D372" s="8" t="s">
        <v>22</v>
      </c>
      <c r="E372" s="10">
        <v>73.39</v>
      </c>
      <c r="F372" s="8">
        <v>0</v>
      </c>
      <c r="G372" s="8">
        <v>4</v>
      </c>
      <c r="H372" s="8" t="s">
        <v>14</v>
      </c>
      <c r="I372" s="8" t="s">
        <v>15</v>
      </c>
      <c r="J372" s="8">
        <v>1.6</v>
      </c>
      <c r="K372" s="8">
        <v>230</v>
      </c>
      <c r="L372" s="10">
        <v>73.39</v>
      </c>
      <c r="M372" s="10">
        <v>293.56</v>
      </c>
      <c r="O372" s="14" t="str">
        <f t="shared" si="10"/>
        <v>Low</v>
      </c>
      <c r="P372" s="12" t="str">
        <f t="shared" si="11"/>
        <v>Poor</v>
      </c>
    </row>
    <row r="373" spans="1:16" x14ac:dyDescent="0.35">
      <c r="A373" s="8">
        <v>372</v>
      </c>
      <c r="B373" s="9">
        <v>44849</v>
      </c>
      <c r="C373" s="8" t="s">
        <v>399</v>
      </c>
      <c r="D373" s="8" t="s">
        <v>27</v>
      </c>
      <c r="E373" s="10">
        <v>163.16999999999999</v>
      </c>
      <c r="F373" s="8">
        <v>15</v>
      </c>
      <c r="G373" s="8">
        <v>5</v>
      </c>
      <c r="H373" s="8" t="s">
        <v>21</v>
      </c>
      <c r="I373" s="8" t="s">
        <v>23</v>
      </c>
      <c r="J373" s="8">
        <v>1.1000000000000001</v>
      </c>
      <c r="K373" s="8">
        <v>354</v>
      </c>
      <c r="L373" s="10">
        <v>138.69</v>
      </c>
      <c r="M373" s="10">
        <v>693.45</v>
      </c>
      <c r="O373" s="14" t="str">
        <f t="shared" si="10"/>
        <v>Low</v>
      </c>
      <c r="P373" s="12" t="str">
        <f t="shared" si="11"/>
        <v>Poor</v>
      </c>
    </row>
    <row r="374" spans="1:16" x14ac:dyDescent="0.35">
      <c r="A374" s="8">
        <v>373</v>
      </c>
      <c r="B374" s="9">
        <v>45224</v>
      </c>
      <c r="C374" s="8" t="s">
        <v>400</v>
      </c>
      <c r="D374" s="8" t="s">
        <v>13</v>
      </c>
      <c r="E374" s="10">
        <v>55.39</v>
      </c>
      <c r="F374" s="8">
        <v>10</v>
      </c>
      <c r="G374" s="8">
        <v>1</v>
      </c>
      <c r="H374" s="8" t="s">
        <v>20</v>
      </c>
      <c r="I374" s="8" t="s">
        <v>15</v>
      </c>
      <c r="J374" s="8">
        <v>3.6</v>
      </c>
      <c r="K374" s="8">
        <v>34</v>
      </c>
      <c r="L374" s="10">
        <v>49.85</v>
      </c>
      <c r="M374" s="10">
        <v>49.85</v>
      </c>
      <c r="O374" s="14" t="str">
        <f t="shared" si="10"/>
        <v>Low</v>
      </c>
      <c r="P374" s="12" t="str">
        <f t="shared" si="11"/>
        <v>Good</v>
      </c>
    </row>
    <row r="375" spans="1:16" x14ac:dyDescent="0.35">
      <c r="A375" s="8">
        <v>374</v>
      </c>
      <c r="B375" s="9">
        <v>45200</v>
      </c>
      <c r="C375" s="8" t="s">
        <v>401</v>
      </c>
      <c r="D375" s="8" t="s">
        <v>13</v>
      </c>
      <c r="E375" s="10">
        <v>418</v>
      </c>
      <c r="F375" s="8">
        <v>30</v>
      </c>
      <c r="G375" s="8">
        <v>4</v>
      </c>
      <c r="H375" s="8" t="s">
        <v>20</v>
      </c>
      <c r="I375" s="8" t="s">
        <v>18</v>
      </c>
      <c r="J375" s="8">
        <v>4.5</v>
      </c>
      <c r="K375" s="8">
        <v>121</v>
      </c>
      <c r="L375" s="10">
        <v>292.60000000000002</v>
      </c>
      <c r="M375" s="10">
        <v>1170.4000000000001</v>
      </c>
      <c r="O375" s="14" t="str">
        <f t="shared" si="10"/>
        <v>High</v>
      </c>
      <c r="P375" s="12" t="str">
        <f t="shared" si="11"/>
        <v>Excellent</v>
      </c>
    </row>
    <row r="376" spans="1:16" x14ac:dyDescent="0.35">
      <c r="A376" s="8">
        <v>375</v>
      </c>
      <c r="B376" s="9">
        <v>44716</v>
      </c>
      <c r="C376" s="8" t="s">
        <v>402</v>
      </c>
      <c r="D376" s="8" t="s">
        <v>25</v>
      </c>
      <c r="E376" s="10">
        <v>491.91</v>
      </c>
      <c r="F376" s="8">
        <v>30</v>
      </c>
      <c r="G376" s="8">
        <v>3</v>
      </c>
      <c r="H376" s="8" t="s">
        <v>21</v>
      </c>
      <c r="I376" s="8" t="s">
        <v>24</v>
      </c>
      <c r="J376" s="8">
        <v>3</v>
      </c>
      <c r="K376" s="8">
        <v>1</v>
      </c>
      <c r="L376" s="10">
        <v>344.34</v>
      </c>
      <c r="M376" s="10">
        <v>1033.02</v>
      </c>
      <c r="O376" s="14" t="str">
        <f t="shared" si="10"/>
        <v>High</v>
      </c>
      <c r="P376" s="12" t="str">
        <f t="shared" si="11"/>
        <v>Good</v>
      </c>
    </row>
    <row r="377" spans="1:16" x14ac:dyDescent="0.35">
      <c r="A377" s="8">
        <v>376</v>
      </c>
      <c r="B377" s="9">
        <v>45051</v>
      </c>
      <c r="C377" s="8" t="s">
        <v>403</v>
      </c>
      <c r="D377" s="8" t="s">
        <v>25</v>
      </c>
      <c r="E377" s="10">
        <v>145.47999999999999</v>
      </c>
      <c r="F377" s="8">
        <v>0</v>
      </c>
      <c r="G377" s="8">
        <v>2</v>
      </c>
      <c r="H377" s="8" t="s">
        <v>17</v>
      </c>
      <c r="I377" s="8" t="s">
        <v>23</v>
      </c>
      <c r="J377" s="8">
        <v>1.2</v>
      </c>
      <c r="K377" s="8">
        <v>196</v>
      </c>
      <c r="L377" s="10">
        <v>145.47999999999999</v>
      </c>
      <c r="M377" s="10">
        <v>290.95999999999998</v>
      </c>
      <c r="O377" s="14" t="str">
        <f t="shared" si="10"/>
        <v>Low</v>
      </c>
      <c r="P377" s="12" t="str">
        <f t="shared" si="11"/>
        <v>Poor</v>
      </c>
    </row>
    <row r="378" spans="1:16" x14ac:dyDescent="0.35">
      <c r="A378" s="8">
        <v>377</v>
      </c>
      <c r="B378" s="9">
        <v>44947</v>
      </c>
      <c r="C378" s="8" t="s">
        <v>404</v>
      </c>
      <c r="D378" s="8" t="s">
        <v>25</v>
      </c>
      <c r="E378" s="10">
        <v>244.14</v>
      </c>
      <c r="F378" s="8">
        <v>0</v>
      </c>
      <c r="G378" s="8">
        <v>2</v>
      </c>
      <c r="H378" s="8" t="s">
        <v>14</v>
      </c>
      <c r="I378" s="8" t="s">
        <v>18</v>
      </c>
      <c r="J378" s="8">
        <v>4.8</v>
      </c>
      <c r="K378" s="8">
        <v>417</v>
      </c>
      <c r="L378" s="10">
        <v>244.14</v>
      </c>
      <c r="M378" s="10">
        <v>488.28</v>
      </c>
      <c r="O378" s="14" t="str">
        <f t="shared" si="10"/>
        <v>Low</v>
      </c>
      <c r="P378" s="12" t="str">
        <f t="shared" si="11"/>
        <v>Excellent</v>
      </c>
    </row>
    <row r="379" spans="1:16" x14ac:dyDescent="0.35">
      <c r="A379" s="8">
        <v>378</v>
      </c>
      <c r="B379" s="9">
        <v>44665</v>
      </c>
      <c r="C379" s="8" t="s">
        <v>405</v>
      </c>
      <c r="D379" s="8" t="s">
        <v>19</v>
      </c>
      <c r="E379" s="10">
        <v>255.73</v>
      </c>
      <c r="F379" s="8">
        <v>10</v>
      </c>
      <c r="G379" s="8">
        <v>4</v>
      </c>
      <c r="H379" s="8" t="s">
        <v>21</v>
      </c>
      <c r="I379" s="8" t="s">
        <v>24</v>
      </c>
      <c r="J379" s="8">
        <v>2.7</v>
      </c>
      <c r="K379" s="8">
        <v>312</v>
      </c>
      <c r="L379" s="10">
        <v>230.16</v>
      </c>
      <c r="M379" s="10">
        <v>920.64</v>
      </c>
      <c r="O379" s="14" t="str">
        <f t="shared" si="10"/>
        <v>Low</v>
      </c>
      <c r="P379" s="12" t="str">
        <f t="shared" si="11"/>
        <v>Poor</v>
      </c>
    </row>
    <row r="380" spans="1:16" x14ac:dyDescent="0.35">
      <c r="A380" s="8">
        <v>379</v>
      </c>
      <c r="B380" s="9">
        <v>44954</v>
      </c>
      <c r="C380" s="8" t="s">
        <v>406</v>
      </c>
      <c r="D380" s="8" t="s">
        <v>22</v>
      </c>
      <c r="E380" s="10">
        <v>86.4</v>
      </c>
      <c r="F380" s="8">
        <v>15</v>
      </c>
      <c r="G380" s="8">
        <v>3</v>
      </c>
      <c r="H380" s="8" t="s">
        <v>14</v>
      </c>
      <c r="I380" s="8" t="s">
        <v>15</v>
      </c>
      <c r="J380" s="8">
        <v>4.3</v>
      </c>
      <c r="K380" s="8">
        <v>372</v>
      </c>
      <c r="L380" s="10">
        <v>73.44</v>
      </c>
      <c r="M380" s="10">
        <v>220.32</v>
      </c>
      <c r="O380" s="14" t="str">
        <f t="shared" si="10"/>
        <v>Low</v>
      </c>
      <c r="P380" s="12" t="str">
        <f t="shared" si="11"/>
        <v>Good</v>
      </c>
    </row>
    <row r="381" spans="1:16" x14ac:dyDescent="0.35">
      <c r="A381" s="8">
        <v>380</v>
      </c>
      <c r="B381" s="9">
        <v>44807</v>
      </c>
      <c r="C381" s="8" t="s">
        <v>407</v>
      </c>
      <c r="D381" s="8" t="s">
        <v>22</v>
      </c>
      <c r="E381" s="10">
        <v>335.47</v>
      </c>
      <c r="F381" s="8">
        <v>20</v>
      </c>
      <c r="G381" s="8">
        <v>4</v>
      </c>
      <c r="H381" s="8" t="s">
        <v>20</v>
      </c>
      <c r="I381" s="8" t="s">
        <v>26</v>
      </c>
      <c r="J381" s="8">
        <v>1.9</v>
      </c>
      <c r="K381" s="8">
        <v>290</v>
      </c>
      <c r="L381" s="10">
        <v>268.38</v>
      </c>
      <c r="M381" s="10">
        <v>1073.52</v>
      </c>
      <c r="O381" s="14" t="str">
        <f t="shared" si="10"/>
        <v>High</v>
      </c>
      <c r="P381" s="12" t="str">
        <f t="shared" si="11"/>
        <v>Poor</v>
      </c>
    </row>
    <row r="382" spans="1:16" x14ac:dyDescent="0.35">
      <c r="A382" s="8">
        <v>381</v>
      </c>
      <c r="B382" s="9">
        <v>44737</v>
      </c>
      <c r="C382" s="8" t="s">
        <v>408</v>
      </c>
      <c r="D382" s="8" t="s">
        <v>16</v>
      </c>
      <c r="E382" s="10">
        <v>260.81</v>
      </c>
      <c r="F382" s="8">
        <v>15</v>
      </c>
      <c r="G382" s="8">
        <v>5</v>
      </c>
      <c r="H382" s="8" t="s">
        <v>20</v>
      </c>
      <c r="I382" s="8" t="s">
        <v>23</v>
      </c>
      <c r="J382" s="8">
        <v>4</v>
      </c>
      <c r="K382" s="8">
        <v>212</v>
      </c>
      <c r="L382" s="10">
        <v>221.69</v>
      </c>
      <c r="M382" s="10">
        <v>1108.45</v>
      </c>
      <c r="O382" s="14" t="str">
        <f t="shared" si="10"/>
        <v>High</v>
      </c>
      <c r="P382" s="12" t="str">
        <f t="shared" si="11"/>
        <v>Good</v>
      </c>
    </row>
    <row r="383" spans="1:16" x14ac:dyDescent="0.35">
      <c r="A383" s="8">
        <v>382</v>
      </c>
      <c r="B383" s="9">
        <v>44600</v>
      </c>
      <c r="C383" s="8" t="s">
        <v>409</v>
      </c>
      <c r="D383" s="8" t="s">
        <v>22</v>
      </c>
      <c r="E383" s="10">
        <v>259.36</v>
      </c>
      <c r="F383" s="8">
        <v>5</v>
      </c>
      <c r="G383" s="8">
        <v>3</v>
      </c>
      <c r="H383" s="8" t="s">
        <v>14</v>
      </c>
      <c r="I383" s="8" t="s">
        <v>24</v>
      </c>
      <c r="J383" s="8">
        <v>3.4</v>
      </c>
      <c r="K383" s="8">
        <v>418</v>
      </c>
      <c r="L383" s="10">
        <v>246.39</v>
      </c>
      <c r="M383" s="10">
        <v>739.17</v>
      </c>
      <c r="O383" s="14" t="str">
        <f t="shared" si="10"/>
        <v>Low</v>
      </c>
      <c r="P383" s="12" t="str">
        <f t="shared" si="11"/>
        <v>Good</v>
      </c>
    </row>
    <row r="384" spans="1:16" x14ac:dyDescent="0.35">
      <c r="A384" s="8">
        <v>383</v>
      </c>
      <c r="B384" s="9">
        <v>45038</v>
      </c>
      <c r="C384" s="8" t="s">
        <v>410</v>
      </c>
      <c r="D384" s="8" t="s">
        <v>27</v>
      </c>
      <c r="E384" s="10">
        <v>34</v>
      </c>
      <c r="F384" s="8">
        <v>15</v>
      </c>
      <c r="G384" s="8">
        <v>5</v>
      </c>
      <c r="H384" s="8" t="s">
        <v>20</v>
      </c>
      <c r="I384" s="8" t="s">
        <v>26</v>
      </c>
      <c r="J384" s="8">
        <v>2.5</v>
      </c>
      <c r="K384" s="8">
        <v>97</v>
      </c>
      <c r="L384" s="10">
        <v>28.9</v>
      </c>
      <c r="M384" s="10">
        <v>144.5</v>
      </c>
      <c r="O384" s="14" t="str">
        <f t="shared" si="10"/>
        <v>Low</v>
      </c>
      <c r="P384" s="12" t="str">
        <f t="shared" si="11"/>
        <v>Poor</v>
      </c>
    </row>
    <row r="385" spans="1:16" x14ac:dyDescent="0.35">
      <c r="A385" s="8">
        <v>384</v>
      </c>
      <c r="B385" s="9">
        <v>45243</v>
      </c>
      <c r="C385" s="8" t="s">
        <v>411</v>
      </c>
      <c r="D385" s="8" t="s">
        <v>22</v>
      </c>
      <c r="E385" s="10">
        <v>44.56</v>
      </c>
      <c r="F385" s="8">
        <v>30</v>
      </c>
      <c r="G385" s="8">
        <v>4</v>
      </c>
      <c r="H385" s="8" t="s">
        <v>14</v>
      </c>
      <c r="I385" s="8" t="s">
        <v>26</v>
      </c>
      <c r="J385" s="8">
        <v>3.1</v>
      </c>
      <c r="K385" s="8">
        <v>100</v>
      </c>
      <c r="L385" s="10">
        <v>31.19</v>
      </c>
      <c r="M385" s="10">
        <v>124.76</v>
      </c>
      <c r="O385" s="14" t="str">
        <f t="shared" si="10"/>
        <v>Low</v>
      </c>
      <c r="P385" s="12" t="str">
        <f t="shared" si="11"/>
        <v>Good</v>
      </c>
    </row>
    <row r="386" spans="1:16" x14ac:dyDescent="0.35">
      <c r="A386" s="8">
        <v>385</v>
      </c>
      <c r="B386" s="9">
        <v>45099</v>
      </c>
      <c r="C386" s="8" t="s">
        <v>412</v>
      </c>
      <c r="D386" s="8" t="s">
        <v>27</v>
      </c>
      <c r="E386" s="10">
        <v>482.32</v>
      </c>
      <c r="F386" s="8">
        <v>20</v>
      </c>
      <c r="G386" s="8">
        <v>1</v>
      </c>
      <c r="H386" s="8" t="s">
        <v>21</v>
      </c>
      <c r="I386" s="8" t="s">
        <v>26</v>
      </c>
      <c r="J386" s="8">
        <v>3.5</v>
      </c>
      <c r="K386" s="8">
        <v>246</v>
      </c>
      <c r="L386" s="10">
        <v>385.86</v>
      </c>
      <c r="M386" s="10">
        <v>385.86</v>
      </c>
      <c r="O386" s="14" t="str">
        <f t="shared" si="10"/>
        <v>Low</v>
      </c>
      <c r="P386" s="12" t="str">
        <f t="shared" si="11"/>
        <v>Good</v>
      </c>
    </row>
    <row r="387" spans="1:16" x14ac:dyDescent="0.35">
      <c r="A387" s="8">
        <v>386</v>
      </c>
      <c r="B387" s="9">
        <v>44969</v>
      </c>
      <c r="C387" s="8" t="s">
        <v>413</v>
      </c>
      <c r="D387" s="8" t="s">
        <v>13</v>
      </c>
      <c r="E387" s="10">
        <v>470.16</v>
      </c>
      <c r="F387" s="8">
        <v>5</v>
      </c>
      <c r="G387" s="8">
        <v>2</v>
      </c>
      <c r="H387" s="8" t="s">
        <v>21</v>
      </c>
      <c r="I387" s="8" t="s">
        <v>18</v>
      </c>
      <c r="J387" s="8">
        <v>4.8</v>
      </c>
      <c r="K387" s="8">
        <v>384</v>
      </c>
      <c r="L387" s="10">
        <v>446.65</v>
      </c>
      <c r="M387" s="10">
        <v>893.3</v>
      </c>
      <c r="O387" s="14" t="str">
        <f t="shared" ref="O387:O450" si="12">IF(M387 &gt; 1000, "High", "Low")</f>
        <v>Low</v>
      </c>
      <c r="P387" s="12" t="str">
        <f t="shared" ref="P387:P450" si="13">IF(J387 &gt;= 4.5, "Excellent", IF(J387 &gt;= 3, "Good", "Poor"))</f>
        <v>Excellent</v>
      </c>
    </row>
    <row r="388" spans="1:16" x14ac:dyDescent="0.35">
      <c r="A388" s="8">
        <v>387</v>
      </c>
      <c r="B388" s="9">
        <v>45086</v>
      </c>
      <c r="C388" s="8" t="s">
        <v>414</v>
      </c>
      <c r="D388" s="8" t="s">
        <v>16</v>
      </c>
      <c r="E388" s="10">
        <v>14.02</v>
      </c>
      <c r="F388" s="8">
        <v>10</v>
      </c>
      <c r="G388" s="8">
        <v>4</v>
      </c>
      <c r="H388" s="8" t="s">
        <v>17</v>
      </c>
      <c r="I388" s="8" t="s">
        <v>24</v>
      </c>
      <c r="J388" s="8">
        <v>3.9</v>
      </c>
      <c r="K388" s="8">
        <v>466</v>
      </c>
      <c r="L388" s="10">
        <v>12.62</v>
      </c>
      <c r="M388" s="10">
        <v>50.48</v>
      </c>
      <c r="O388" s="14" t="str">
        <f t="shared" si="12"/>
        <v>Low</v>
      </c>
      <c r="P388" s="12" t="str">
        <f t="shared" si="13"/>
        <v>Good</v>
      </c>
    </row>
    <row r="389" spans="1:16" x14ac:dyDescent="0.35">
      <c r="A389" s="8">
        <v>388</v>
      </c>
      <c r="B389" s="9">
        <v>45067</v>
      </c>
      <c r="C389" s="8" t="s">
        <v>415</v>
      </c>
      <c r="D389" s="8" t="s">
        <v>22</v>
      </c>
      <c r="E389" s="10">
        <v>272.52999999999997</v>
      </c>
      <c r="F389" s="8">
        <v>0</v>
      </c>
      <c r="G389" s="8">
        <v>4</v>
      </c>
      <c r="H389" s="8" t="s">
        <v>14</v>
      </c>
      <c r="I389" s="8" t="s">
        <v>26</v>
      </c>
      <c r="J389" s="8">
        <v>2.8</v>
      </c>
      <c r="K389" s="8">
        <v>435</v>
      </c>
      <c r="L389" s="10">
        <v>272.52999999999997</v>
      </c>
      <c r="M389" s="10">
        <v>1090.1199999999999</v>
      </c>
      <c r="O389" s="14" t="str">
        <f t="shared" si="12"/>
        <v>High</v>
      </c>
      <c r="P389" s="12" t="str">
        <f t="shared" si="13"/>
        <v>Poor</v>
      </c>
    </row>
    <row r="390" spans="1:16" x14ac:dyDescent="0.35">
      <c r="A390" s="8">
        <v>389</v>
      </c>
      <c r="B390" s="9">
        <v>44597</v>
      </c>
      <c r="C390" s="8" t="s">
        <v>416</v>
      </c>
      <c r="D390" s="8" t="s">
        <v>13</v>
      </c>
      <c r="E390" s="10">
        <v>37.1</v>
      </c>
      <c r="F390" s="8">
        <v>30</v>
      </c>
      <c r="G390" s="8">
        <v>5</v>
      </c>
      <c r="H390" s="8" t="s">
        <v>14</v>
      </c>
      <c r="I390" s="8" t="s">
        <v>26</v>
      </c>
      <c r="J390" s="8">
        <v>2.2000000000000002</v>
      </c>
      <c r="K390" s="8">
        <v>415</v>
      </c>
      <c r="L390" s="10">
        <v>25.97</v>
      </c>
      <c r="M390" s="10">
        <v>129.85</v>
      </c>
      <c r="O390" s="14" t="str">
        <f t="shared" si="12"/>
        <v>Low</v>
      </c>
      <c r="P390" s="12" t="str">
        <f t="shared" si="13"/>
        <v>Poor</v>
      </c>
    </row>
    <row r="391" spans="1:16" x14ac:dyDescent="0.35">
      <c r="A391" s="8">
        <v>390</v>
      </c>
      <c r="B391" s="9">
        <v>45246</v>
      </c>
      <c r="C391" s="8" t="s">
        <v>417</v>
      </c>
      <c r="D391" s="8" t="s">
        <v>27</v>
      </c>
      <c r="E391" s="10">
        <v>397.61</v>
      </c>
      <c r="F391" s="8">
        <v>5</v>
      </c>
      <c r="G391" s="8">
        <v>4</v>
      </c>
      <c r="H391" s="8" t="s">
        <v>14</v>
      </c>
      <c r="I391" s="8" t="s">
        <v>24</v>
      </c>
      <c r="J391" s="8">
        <v>1.8</v>
      </c>
      <c r="K391" s="8">
        <v>353</v>
      </c>
      <c r="L391" s="10">
        <v>377.73</v>
      </c>
      <c r="M391" s="10">
        <v>1510.92</v>
      </c>
      <c r="O391" s="14" t="str">
        <f t="shared" si="12"/>
        <v>High</v>
      </c>
      <c r="P391" s="12" t="str">
        <f t="shared" si="13"/>
        <v>Poor</v>
      </c>
    </row>
    <row r="392" spans="1:16" x14ac:dyDescent="0.35">
      <c r="A392" s="8">
        <v>391</v>
      </c>
      <c r="B392" s="9">
        <v>44581</v>
      </c>
      <c r="C392" s="8" t="s">
        <v>418</v>
      </c>
      <c r="D392" s="8" t="s">
        <v>16</v>
      </c>
      <c r="E392" s="10">
        <v>29.38</v>
      </c>
      <c r="F392" s="8">
        <v>5</v>
      </c>
      <c r="G392" s="8">
        <v>5</v>
      </c>
      <c r="H392" s="8" t="s">
        <v>17</v>
      </c>
      <c r="I392" s="8" t="s">
        <v>23</v>
      </c>
      <c r="J392" s="8">
        <v>4.3</v>
      </c>
      <c r="K392" s="8">
        <v>313</v>
      </c>
      <c r="L392" s="10">
        <v>27.91</v>
      </c>
      <c r="M392" s="10">
        <v>139.55000000000001</v>
      </c>
      <c r="O392" s="14" t="str">
        <f t="shared" si="12"/>
        <v>Low</v>
      </c>
      <c r="P392" s="12" t="str">
        <f t="shared" si="13"/>
        <v>Good</v>
      </c>
    </row>
    <row r="393" spans="1:16" x14ac:dyDescent="0.35">
      <c r="A393" s="8">
        <v>392</v>
      </c>
      <c r="B393" s="9">
        <v>44882</v>
      </c>
      <c r="C393" s="8" t="s">
        <v>419</v>
      </c>
      <c r="D393" s="8" t="s">
        <v>13</v>
      </c>
      <c r="E393" s="10">
        <v>276.91000000000003</v>
      </c>
      <c r="F393" s="8">
        <v>5</v>
      </c>
      <c r="G393" s="8">
        <v>4</v>
      </c>
      <c r="H393" s="8" t="s">
        <v>20</v>
      </c>
      <c r="I393" s="8" t="s">
        <v>18</v>
      </c>
      <c r="J393" s="8">
        <v>4.5</v>
      </c>
      <c r="K393" s="8">
        <v>377</v>
      </c>
      <c r="L393" s="10">
        <v>263.06</v>
      </c>
      <c r="M393" s="10">
        <v>1052.24</v>
      </c>
      <c r="O393" s="14" t="str">
        <f t="shared" si="12"/>
        <v>High</v>
      </c>
      <c r="P393" s="12" t="str">
        <f t="shared" si="13"/>
        <v>Excellent</v>
      </c>
    </row>
    <row r="394" spans="1:16" x14ac:dyDescent="0.35">
      <c r="A394" s="8">
        <v>393</v>
      </c>
      <c r="B394" s="9">
        <v>45073</v>
      </c>
      <c r="C394" s="8" t="s">
        <v>420</v>
      </c>
      <c r="D394" s="8" t="s">
        <v>27</v>
      </c>
      <c r="E394" s="10">
        <v>311.54000000000002</v>
      </c>
      <c r="F394" s="8">
        <v>30</v>
      </c>
      <c r="G394" s="8">
        <v>2</v>
      </c>
      <c r="H394" s="8" t="s">
        <v>21</v>
      </c>
      <c r="I394" s="8" t="s">
        <v>15</v>
      </c>
      <c r="J394" s="8">
        <v>4.4000000000000004</v>
      </c>
      <c r="K394" s="8">
        <v>240</v>
      </c>
      <c r="L394" s="10">
        <v>218.08</v>
      </c>
      <c r="M394" s="10">
        <v>436.16</v>
      </c>
      <c r="O394" s="14" t="str">
        <f t="shared" si="12"/>
        <v>Low</v>
      </c>
      <c r="P394" s="12" t="str">
        <f t="shared" si="13"/>
        <v>Good</v>
      </c>
    </row>
    <row r="395" spans="1:16" x14ac:dyDescent="0.35">
      <c r="A395" s="8">
        <v>394</v>
      </c>
      <c r="B395" s="9">
        <v>44961</v>
      </c>
      <c r="C395" s="8" t="s">
        <v>421</v>
      </c>
      <c r="D395" s="8" t="s">
        <v>16</v>
      </c>
      <c r="E395" s="10">
        <v>52.55</v>
      </c>
      <c r="F395" s="8">
        <v>0</v>
      </c>
      <c r="G395" s="8">
        <v>2</v>
      </c>
      <c r="H395" s="8" t="s">
        <v>20</v>
      </c>
      <c r="I395" s="8" t="s">
        <v>15</v>
      </c>
      <c r="J395" s="8">
        <v>1.6</v>
      </c>
      <c r="K395" s="8">
        <v>274</v>
      </c>
      <c r="L395" s="10">
        <v>52.55</v>
      </c>
      <c r="M395" s="10">
        <v>105.1</v>
      </c>
      <c r="O395" s="14" t="str">
        <f t="shared" si="12"/>
        <v>Low</v>
      </c>
      <c r="P395" s="12" t="str">
        <f t="shared" si="13"/>
        <v>Poor</v>
      </c>
    </row>
    <row r="396" spans="1:16" x14ac:dyDescent="0.35">
      <c r="A396" s="8">
        <v>395</v>
      </c>
      <c r="B396" s="9">
        <v>45215</v>
      </c>
      <c r="C396" s="8" t="s">
        <v>422</v>
      </c>
      <c r="D396" s="8" t="s">
        <v>25</v>
      </c>
      <c r="E396" s="10">
        <v>299.20999999999998</v>
      </c>
      <c r="F396" s="8">
        <v>20</v>
      </c>
      <c r="G396" s="8">
        <v>3</v>
      </c>
      <c r="H396" s="8" t="s">
        <v>17</v>
      </c>
      <c r="I396" s="8" t="s">
        <v>18</v>
      </c>
      <c r="J396" s="8">
        <v>3.2</v>
      </c>
      <c r="K396" s="8">
        <v>483</v>
      </c>
      <c r="L396" s="10">
        <v>239.37</v>
      </c>
      <c r="M396" s="10">
        <v>718.11</v>
      </c>
      <c r="O396" s="14" t="str">
        <f t="shared" si="12"/>
        <v>Low</v>
      </c>
      <c r="P396" s="12" t="str">
        <f t="shared" si="13"/>
        <v>Good</v>
      </c>
    </row>
    <row r="397" spans="1:16" x14ac:dyDescent="0.35">
      <c r="A397" s="8">
        <v>396</v>
      </c>
      <c r="B397" s="9">
        <v>45032</v>
      </c>
      <c r="C397" s="8" t="s">
        <v>423</v>
      </c>
      <c r="D397" s="8" t="s">
        <v>22</v>
      </c>
      <c r="E397" s="10">
        <v>471.13</v>
      </c>
      <c r="F397" s="8">
        <v>5</v>
      </c>
      <c r="G397" s="8">
        <v>3</v>
      </c>
      <c r="H397" s="8" t="s">
        <v>14</v>
      </c>
      <c r="I397" s="8" t="s">
        <v>23</v>
      </c>
      <c r="J397" s="8">
        <v>3.9</v>
      </c>
      <c r="K397" s="8">
        <v>325</v>
      </c>
      <c r="L397" s="10">
        <v>447.57</v>
      </c>
      <c r="M397" s="10">
        <v>1342.71</v>
      </c>
      <c r="O397" s="14" t="str">
        <f t="shared" si="12"/>
        <v>High</v>
      </c>
      <c r="P397" s="12" t="str">
        <f t="shared" si="13"/>
        <v>Good</v>
      </c>
    </row>
    <row r="398" spans="1:16" x14ac:dyDescent="0.35">
      <c r="A398" s="8">
        <v>397</v>
      </c>
      <c r="B398" s="9">
        <v>44704</v>
      </c>
      <c r="C398" s="8" t="s">
        <v>424</v>
      </c>
      <c r="D398" s="8" t="s">
        <v>25</v>
      </c>
      <c r="E398" s="10">
        <v>53.18</v>
      </c>
      <c r="F398" s="8">
        <v>10</v>
      </c>
      <c r="G398" s="8">
        <v>4</v>
      </c>
      <c r="H398" s="8" t="s">
        <v>20</v>
      </c>
      <c r="I398" s="8" t="s">
        <v>26</v>
      </c>
      <c r="J398" s="8">
        <v>3.6</v>
      </c>
      <c r="K398" s="8">
        <v>436</v>
      </c>
      <c r="L398" s="10">
        <v>47.86</v>
      </c>
      <c r="M398" s="10">
        <v>191.44</v>
      </c>
      <c r="O398" s="14" t="str">
        <f t="shared" si="12"/>
        <v>Low</v>
      </c>
      <c r="P398" s="12" t="str">
        <f t="shared" si="13"/>
        <v>Good</v>
      </c>
    </row>
    <row r="399" spans="1:16" x14ac:dyDescent="0.35">
      <c r="A399" s="8">
        <v>398</v>
      </c>
      <c r="B399" s="9">
        <v>44653</v>
      </c>
      <c r="C399" s="8" t="s">
        <v>425</v>
      </c>
      <c r="D399" s="8" t="s">
        <v>25</v>
      </c>
      <c r="E399" s="10">
        <v>343.91</v>
      </c>
      <c r="F399" s="8">
        <v>20</v>
      </c>
      <c r="G399" s="8">
        <v>2</v>
      </c>
      <c r="H399" s="8" t="s">
        <v>20</v>
      </c>
      <c r="I399" s="8" t="s">
        <v>26</v>
      </c>
      <c r="J399" s="8">
        <v>2</v>
      </c>
      <c r="K399" s="8">
        <v>74</v>
      </c>
      <c r="L399" s="10">
        <v>275.13</v>
      </c>
      <c r="M399" s="10">
        <v>550.26</v>
      </c>
      <c r="O399" s="14" t="str">
        <f t="shared" si="12"/>
        <v>Low</v>
      </c>
      <c r="P399" s="12" t="str">
        <f t="shared" si="13"/>
        <v>Poor</v>
      </c>
    </row>
    <row r="400" spans="1:16" x14ac:dyDescent="0.35">
      <c r="A400" s="8">
        <v>399</v>
      </c>
      <c r="B400" s="9">
        <v>44915</v>
      </c>
      <c r="C400" s="8" t="s">
        <v>426</v>
      </c>
      <c r="D400" s="8" t="s">
        <v>25</v>
      </c>
      <c r="E400" s="10">
        <v>139.27000000000001</v>
      </c>
      <c r="F400" s="8">
        <v>10</v>
      </c>
      <c r="G400" s="8">
        <v>5</v>
      </c>
      <c r="H400" s="8" t="s">
        <v>14</v>
      </c>
      <c r="I400" s="8" t="s">
        <v>18</v>
      </c>
      <c r="J400" s="8">
        <v>4.4000000000000004</v>
      </c>
      <c r="K400" s="8">
        <v>233</v>
      </c>
      <c r="L400" s="10">
        <v>125.34</v>
      </c>
      <c r="M400" s="10">
        <v>626.70000000000005</v>
      </c>
      <c r="O400" s="14" t="str">
        <f t="shared" si="12"/>
        <v>Low</v>
      </c>
      <c r="P400" s="12" t="str">
        <f t="shared" si="13"/>
        <v>Good</v>
      </c>
    </row>
    <row r="401" spans="1:16" x14ac:dyDescent="0.35">
      <c r="A401" s="8">
        <v>400</v>
      </c>
      <c r="B401" s="9">
        <v>45288</v>
      </c>
      <c r="C401" s="8" t="s">
        <v>427</v>
      </c>
      <c r="D401" s="8" t="s">
        <v>13</v>
      </c>
      <c r="E401" s="10">
        <v>140.44</v>
      </c>
      <c r="F401" s="8">
        <v>0</v>
      </c>
      <c r="G401" s="8">
        <v>4</v>
      </c>
      <c r="H401" s="8" t="s">
        <v>20</v>
      </c>
      <c r="I401" s="8" t="s">
        <v>26</v>
      </c>
      <c r="J401" s="8">
        <v>1.3</v>
      </c>
      <c r="K401" s="8">
        <v>220</v>
      </c>
      <c r="L401" s="10">
        <v>140.44</v>
      </c>
      <c r="M401" s="10">
        <v>561.76</v>
      </c>
      <c r="O401" s="14" t="str">
        <f t="shared" si="12"/>
        <v>Low</v>
      </c>
      <c r="P401" s="12" t="str">
        <f t="shared" si="13"/>
        <v>Poor</v>
      </c>
    </row>
    <row r="402" spans="1:16" x14ac:dyDescent="0.35">
      <c r="A402" s="8">
        <v>401</v>
      </c>
      <c r="B402" s="9">
        <v>44612</v>
      </c>
      <c r="C402" s="8" t="s">
        <v>428</v>
      </c>
      <c r="D402" s="8" t="s">
        <v>25</v>
      </c>
      <c r="E402" s="10">
        <v>274.33999999999997</v>
      </c>
      <c r="F402" s="8">
        <v>30</v>
      </c>
      <c r="G402" s="8">
        <v>1</v>
      </c>
      <c r="H402" s="8" t="s">
        <v>17</v>
      </c>
      <c r="I402" s="8" t="s">
        <v>26</v>
      </c>
      <c r="J402" s="8">
        <v>4.3</v>
      </c>
      <c r="K402" s="8">
        <v>274</v>
      </c>
      <c r="L402" s="10">
        <v>192.04</v>
      </c>
      <c r="M402" s="10">
        <v>192.04</v>
      </c>
      <c r="O402" s="14" t="str">
        <f t="shared" si="12"/>
        <v>Low</v>
      </c>
      <c r="P402" s="12" t="str">
        <f t="shared" si="13"/>
        <v>Good</v>
      </c>
    </row>
    <row r="403" spans="1:16" x14ac:dyDescent="0.35">
      <c r="A403" s="8">
        <v>402</v>
      </c>
      <c r="B403" s="9">
        <v>45226</v>
      </c>
      <c r="C403" s="8" t="s">
        <v>429</v>
      </c>
      <c r="D403" s="8" t="s">
        <v>19</v>
      </c>
      <c r="E403" s="10">
        <v>464.28</v>
      </c>
      <c r="F403" s="8">
        <v>10</v>
      </c>
      <c r="G403" s="8">
        <v>3</v>
      </c>
      <c r="H403" s="8" t="s">
        <v>21</v>
      </c>
      <c r="I403" s="8" t="s">
        <v>23</v>
      </c>
      <c r="J403" s="8">
        <v>2.7</v>
      </c>
      <c r="K403" s="8">
        <v>446</v>
      </c>
      <c r="L403" s="10">
        <v>417.85</v>
      </c>
      <c r="M403" s="10">
        <v>1253.55</v>
      </c>
      <c r="O403" s="14" t="str">
        <f t="shared" si="12"/>
        <v>High</v>
      </c>
      <c r="P403" s="12" t="str">
        <f t="shared" si="13"/>
        <v>Poor</v>
      </c>
    </row>
    <row r="404" spans="1:16" x14ac:dyDescent="0.35">
      <c r="A404" s="8">
        <v>403</v>
      </c>
      <c r="B404" s="9">
        <v>45259</v>
      </c>
      <c r="C404" s="8" t="s">
        <v>430</v>
      </c>
      <c r="D404" s="8" t="s">
        <v>25</v>
      </c>
      <c r="E404" s="10">
        <v>119.21</v>
      </c>
      <c r="F404" s="8">
        <v>15</v>
      </c>
      <c r="G404" s="8">
        <v>3</v>
      </c>
      <c r="H404" s="8" t="s">
        <v>14</v>
      </c>
      <c r="I404" s="8" t="s">
        <v>24</v>
      </c>
      <c r="J404" s="8">
        <v>3.2</v>
      </c>
      <c r="K404" s="8">
        <v>412</v>
      </c>
      <c r="L404" s="10">
        <v>101.33</v>
      </c>
      <c r="M404" s="10">
        <v>303.99</v>
      </c>
      <c r="O404" s="14" t="str">
        <f t="shared" si="12"/>
        <v>Low</v>
      </c>
      <c r="P404" s="12" t="str">
        <f t="shared" si="13"/>
        <v>Good</v>
      </c>
    </row>
    <row r="405" spans="1:16" x14ac:dyDescent="0.35">
      <c r="A405" s="8">
        <v>404</v>
      </c>
      <c r="B405" s="9">
        <v>45136</v>
      </c>
      <c r="C405" s="8" t="s">
        <v>431</v>
      </c>
      <c r="D405" s="8" t="s">
        <v>13</v>
      </c>
      <c r="E405" s="10">
        <v>496.7</v>
      </c>
      <c r="F405" s="8">
        <v>15</v>
      </c>
      <c r="G405" s="8">
        <v>3</v>
      </c>
      <c r="H405" s="8" t="s">
        <v>17</v>
      </c>
      <c r="I405" s="8" t="s">
        <v>15</v>
      </c>
      <c r="J405" s="8">
        <v>1.1000000000000001</v>
      </c>
      <c r="K405" s="8">
        <v>72</v>
      </c>
      <c r="L405" s="10">
        <v>422.2</v>
      </c>
      <c r="M405" s="10">
        <v>1266.5999999999999</v>
      </c>
      <c r="O405" s="14" t="str">
        <f t="shared" si="12"/>
        <v>High</v>
      </c>
      <c r="P405" s="12" t="str">
        <f t="shared" si="13"/>
        <v>Poor</v>
      </c>
    </row>
    <row r="406" spans="1:16" x14ac:dyDescent="0.35">
      <c r="A406" s="8">
        <v>405</v>
      </c>
      <c r="B406" s="9">
        <v>44751</v>
      </c>
      <c r="C406" s="8" t="s">
        <v>432</v>
      </c>
      <c r="D406" s="8" t="s">
        <v>22</v>
      </c>
      <c r="E406" s="10">
        <v>50.27</v>
      </c>
      <c r="F406" s="8">
        <v>30</v>
      </c>
      <c r="G406" s="8">
        <v>5</v>
      </c>
      <c r="H406" s="8" t="s">
        <v>20</v>
      </c>
      <c r="I406" s="8" t="s">
        <v>15</v>
      </c>
      <c r="J406" s="8">
        <v>4.9000000000000004</v>
      </c>
      <c r="K406" s="8">
        <v>452</v>
      </c>
      <c r="L406" s="10">
        <v>35.19</v>
      </c>
      <c r="M406" s="10">
        <v>175.95</v>
      </c>
      <c r="O406" s="14" t="str">
        <f t="shared" si="12"/>
        <v>Low</v>
      </c>
      <c r="P406" s="12" t="str">
        <f t="shared" si="13"/>
        <v>Excellent</v>
      </c>
    </row>
    <row r="407" spans="1:16" x14ac:dyDescent="0.35">
      <c r="A407" s="8">
        <v>406</v>
      </c>
      <c r="B407" s="9">
        <v>44686</v>
      </c>
      <c r="C407" s="8" t="s">
        <v>433</v>
      </c>
      <c r="D407" s="8" t="s">
        <v>19</v>
      </c>
      <c r="E407" s="10">
        <v>470.39</v>
      </c>
      <c r="F407" s="8">
        <v>30</v>
      </c>
      <c r="G407" s="8">
        <v>3</v>
      </c>
      <c r="H407" s="8" t="s">
        <v>14</v>
      </c>
      <c r="I407" s="8" t="s">
        <v>18</v>
      </c>
      <c r="J407" s="8">
        <v>3.6</v>
      </c>
      <c r="K407" s="8">
        <v>491</v>
      </c>
      <c r="L407" s="10">
        <v>329.27</v>
      </c>
      <c r="M407" s="10">
        <v>987.81</v>
      </c>
      <c r="O407" s="14" t="str">
        <f t="shared" si="12"/>
        <v>Low</v>
      </c>
      <c r="P407" s="12" t="str">
        <f t="shared" si="13"/>
        <v>Good</v>
      </c>
    </row>
    <row r="408" spans="1:16" x14ac:dyDescent="0.35">
      <c r="A408" s="8">
        <v>407</v>
      </c>
      <c r="B408" s="9">
        <v>44711</v>
      </c>
      <c r="C408" s="8" t="s">
        <v>434</v>
      </c>
      <c r="D408" s="8" t="s">
        <v>16</v>
      </c>
      <c r="E408" s="10">
        <v>13.83</v>
      </c>
      <c r="F408" s="8">
        <v>0</v>
      </c>
      <c r="G408" s="8">
        <v>2</v>
      </c>
      <c r="H408" s="8" t="s">
        <v>14</v>
      </c>
      <c r="I408" s="8" t="s">
        <v>18</v>
      </c>
      <c r="J408" s="8">
        <v>4.4000000000000004</v>
      </c>
      <c r="K408" s="8">
        <v>110</v>
      </c>
      <c r="L408" s="10">
        <v>13.83</v>
      </c>
      <c r="M408" s="10">
        <v>27.66</v>
      </c>
      <c r="O408" s="14" t="str">
        <f t="shared" si="12"/>
        <v>Low</v>
      </c>
      <c r="P408" s="12" t="str">
        <f t="shared" si="13"/>
        <v>Good</v>
      </c>
    </row>
    <row r="409" spans="1:16" x14ac:dyDescent="0.35">
      <c r="A409" s="8">
        <v>408</v>
      </c>
      <c r="B409" s="9">
        <v>44875</v>
      </c>
      <c r="C409" s="8" t="s">
        <v>435</v>
      </c>
      <c r="D409" s="8" t="s">
        <v>16</v>
      </c>
      <c r="E409" s="10">
        <v>85.28</v>
      </c>
      <c r="F409" s="8">
        <v>30</v>
      </c>
      <c r="G409" s="8">
        <v>3</v>
      </c>
      <c r="H409" s="8" t="s">
        <v>17</v>
      </c>
      <c r="I409" s="8" t="s">
        <v>18</v>
      </c>
      <c r="J409" s="8">
        <v>2.2999999999999998</v>
      </c>
      <c r="K409" s="8">
        <v>62</v>
      </c>
      <c r="L409" s="10">
        <v>59.7</v>
      </c>
      <c r="M409" s="10">
        <v>179.1</v>
      </c>
      <c r="O409" s="14" t="str">
        <f t="shared" si="12"/>
        <v>Low</v>
      </c>
      <c r="P409" s="12" t="str">
        <f t="shared" si="13"/>
        <v>Poor</v>
      </c>
    </row>
    <row r="410" spans="1:16" x14ac:dyDescent="0.35">
      <c r="A410" s="8">
        <v>409</v>
      </c>
      <c r="B410" s="9">
        <v>45131</v>
      </c>
      <c r="C410" s="8" t="s">
        <v>436</v>
      </c>
      <c r="D410" s="8" t="s">
        <v>22</v>
      </c>
      <c r="E410" s="10">
        <v>488.31</v>
      </c>
      <c r="F410" s="8">
        <v>20</v>
      </c>
      <c r="G410" s="8">
        <v>5</v>
      </c>
      <c r="H410" s="8" t="s">
        <v>14</v>
      </c>
      <c r="I410" s="8" t="s">
        <v>23</v>
      </c>
      <c r="J410" s="8">
        <v>1.3</v>
      </c>
      <c r="K410" s="8">
        <v>413</v>
      </c>
      <c r="L410" s="10">
        <v>390.65</v>
      </c>
      <c r="M410" s="10">
        <v>1953.25</v>
      </c>
      <c r="O410" s="14" t="str">
        <f t="shared" si="12"/>
        <v>High</v>
      </c>
      <c r="P410" s="12" t="str">
        <f t="shared" si="13"/>
        <v>Poor</v>
      </c>
    </row>
    <row r="411" spans="1:16" x14ac:dyDescent="0.35">
      <c r="A411" s="8">
        <v>410</v>
      </c>
      <c r="B411" s="9">
        <v>44903</v>
      </c>
      <c r="C411" s="8" t="s">
        <v>437</v>
      </c>
      <c r="D411" s="8" t="s">
        <v>13</v>
      </c>
      <c r="E411" s="10">
        <v>136.72999999999999</v>
      </c>
      <c r="F411" s="8">
        <v>0</v>
      </c>
      <c r="G411" s="8">
        <v>4</v>
      </c>
      <c r="H411" s="8" t="s">
        <v>14</v>
      </c>
      <c r="I411" s="8" t="s">
        <v>18</v>
      </c>
      <c r="J411" s="8">
        <v>1.5</v>
      </c>
      <c r="K411" s="8">
        <v>83</v>
      </c>
      <c r="L411" s="10">
        <v>136.72999999999999</v>
      </c>
      <c r="M411" s="10">
        <v>546.91999999999996</v>
      </c>
      <c r="O411" s="14" t="str">
        <f t="shared" si="12"/>
        <v>Low</v>
      </c>
      <c r="P411" s="12" t="str">
        <f t="shared" si="13"/>
        <v>Poor</v>
      </c>
    </row>
    <row r="412" spans="1:16" x14ac:dyDescent="0.35">
      <c r="A412" s="8">
        <v>411</v>
      </c>
      <c r="B412" s="9">
        <v>44866</v>
      </c>
      <c r="C412" s="8" t="s">
        <v>438</v>
      </c>
      <c r="D412" s="8" t="s">
        <v>25</v>
      </c>
      <c r="E412" s="10">
        <v>8.52</v>
      </c>
      <c r="F412" s="8">
        <v>20</v>
      </c>
      <c r="G412" s="8">
        <v>1</v>
      </c>
      <c r="H412" s="8" t="s">
        <v>21</v>
      </c>
      <c r="I412" s="8" t="s">
        <v>18</v>
      </c>
      <c r="J412" s="8">
        <v>4.7</v>
      </c>
      <c r="K412" s="8">
        <v>360</v>
      </c>
      <c r="L412" s="10">
        <v>6.82</v>
      </c>
      <c r="M412" s="10">
        <v>6.82</v>
      </c>
      <c r="O412" s="14" t="str">
        <f t="shared" si="12"/>
        <v>Low</v>
      </c>
      <c r="P412" s="12" t="str">
        <f t="shared" si="13"/>
        <v>Excellent</v>
      </c>
    </row>
    <row r="413" spans="1:16" x14ac:dyDescent="0.35">
      <c r="A413" s="8">
        <v>412</v>
      </c>
      <c r="B413" s="9">
        <v>45253</v>
      </c>
      <c r="C413" s="8" t="s">
        <v>439</v>
      </c>
      <c r="D413" s="8" t="s">
        <v>16</v>
      </c>
      <c r="E413" s="10">
        <v>443.11</v>
      </c>
      <c r="F413" s="8">
        <v>15</v>
      </c>
      <c r="G413" s="8">
        <v>4</v>
      </c>
      <c r="H413" s="8" t="s">
        <v>17</v>
      </c>
      <c r="I413" s="8" t="s">
        <v>26</v>
      </c>
      <c r="J413" s="8">
        <v>3.5</v>
      </c>
      <c r="K413" s="8">
        <v>242</v>
      </c>
      <c r="L413" s="10">
        <v>376.64</v>
      </c>
      <c r="M413" s="10">
        <v>1506.56</v>
      </c>
      <c r="O413" s="14" t="str">
        <f t="shared" si="12"/>
        <v>High</v>
      </c>
      <c r="P413" s="12" t="str">
        <f t="shared" si="13"/>
        <v>Good</v>
      </c>
    </row>
    <row r="414" spans="1:16" x14ac:dyDescent="0.35">
      <c r="A414" s="8">
        <v>413</v>
      </c>
      <c r="B414" s="9">
        <v>45243</v>
      </c>
      <c r="C414" s="8" t="s">
        <v>440</v>
      </c>
      <c r="D414" s="8" t="s">
        <v>22</v>
      </c>
      <c r="E414" s="10">
        <v>457.42</v>
      </c>
      <c r="F414" s="8">
        <v>15</v>
      </c>
      <c r="G414" s="8">
        <v>4</v>
      </c>
      <c r="H414" s="8" t="s">
        <v>21</v>
      </c>
      <c r="I414" s="8" t="s">
        <v>18</v>
      </c>
      <c r="J414" s="8">
        <v>1.9</v>
      </c>
      <c r="K414" s="8">
        <v>379</v>
      </c>
      <c r="L414" s="10">
        <v>388.81</v>
      </c>
      <c r="M414" s="10">
        <v>1555.24</v>
      </c>
      <c r="O414" s="14" t="str">
        <f t="shared" si="12"/>
        <v>High</v>
      </c>
      <c r="P414" s="12" t="str">
        <f t="shared" si="13"/>
        <v>Poor</v>
      </c>
    </row>
    <row r="415" spans="1:16" x14ac:dyDescent="0.35">
      <c r="A415" s="8">
        <v>414</v>
      </c>
      <c r="B415" s="9">
        <v>44615</v>
      </c>
      <c r="C415" s="8" t="s">
        <v>441</v>
      </c>
      <c r="D415" s="8" t="s">
        <v>22</v>
      </c>
      <c r="E415" s="10">
        <v>373.48</v>
      </c>
      <c r="F415" s="8">
        <v>15</v>
      </c>
      <c r="G415" s="8">
        <v>3</v>
      </c>
      <c r="H415" s="8" t="s">
        <v>20</v>
      </c>
      <c r="I415" s="8" t="s">
        <v>26</v>
      </c>
      <c r="J415" s="8">
        <v>3.5</v>
      </c>
      <c r="K415" s="8">
        <v>311</v>
      </c>
      <c r="L415" s="10">
        <v>317.45999999999998</v>
      </c>
      <c r="M415" s="10">
        <v>952.38</v>
      </c>
      <c r="O415" s="14" t="str">
        <f t="shared" si="12"/>
        <v>Low</v>
      </c>
      <c r="P415" s="12" t="str">
        <f t="shared" si="13"/>
        <v>Good</v>
      </c>
    </row>
    <row r="416" spans="1:16" x14ac:dyDescent="0.35">
      <c r="A416" s="8">
        <v>415</v>
      </c>
      <c r="B416" s="9">
        <v>45005</v>
      </c>
      <c r="C416" s="8" t="s">
        <v>442</v>
      </c>
      <c r="D416" s="8" t="s">
        <v>25</v>
      </c>
      <c r="E416" s="10">
        <v>470.08</v>
      </c>
      <c r="F416" s="8">
        <v>5</v>
      </c>
      <c r="G416" s="8">
        <v>4</v>
      </c>
      <c r="H416" s="8" t="s">
        <v>20</v>
      </c>
      <c r="I416" s="8" t="s">
        <v>24</v>
      </c>
      <c r="J416" s="8">
        <v>4</v>
      </c>
      <c r="K416" s="8">
        <v>114</v>
      </c>
      <c r="L416" s="10">
        <v>446.58</v>
      </c>
      <c r="M416" s="10">
        <v>1786.32</v>
      </c>
      <c r="O416" s="14" t="str">
        <f t="shared" si="12"/>
        <v>High</v>
      </c>
      <c r="P416" s="12" t="str">
        <f t="shared" si="13"/>
        <v>Good</v>
      </c>
    </row>
    <row r="417" spans="1:16" x14ac:dyDescent="0.35">
      <c r="A417" s="8">
        <v>416</v>
      </c>
      <c r="B417" s="9">
        <v>45174</v>
      </c>
      <c r="C417" s="8" t="s">
        <v>443</v>
      </c>
      <c r="D417" s="8" t="s">
        <v>22</v>
      </c>
      <c r="E417" s="10">
        <v>136.51</v>
      </c>
      <c r="F417" s="8">
        <v>15</v>
      </c>
      <c r="G417" s="8">
        <v>1</v>
      </c>
      <c r="H417" s="8" t="s">
        <v>14</v>
      </c>
      <c r="I417" s="8" t="s">
        <v>23</v>
      </c>
      <c r="J417" s="8">
        <v>4.2</v>
      </c>
      <c r="K417" s="8">
        <v>6</v>
      </c>
      <c r="L417" s="10">
        <v>116.03</v>
      </c>
      <c r="M417" s="10">
        <v>116.03</v>
      </c>
      <c r="O417" s="14" t="str">
        <f t="shared" si="12"/>
        <v>Low</v>
      </c>
      <c r="P417" s="12" t="str">
        <f t="shared" si="13"/>
        <v>Good</v>
      </c>
    </row>
    <row r="418" spans="1:16" x14ac:dyDescent="0.35">
      <c r="A418" s="8">
        <v>417</v>
      </c>
      <c r="B418" s="9">
        <v>44825</v>
      </c>
      <c r="C418" s="8" t="s">
        <v>444</v>
      </c>
      <c r="D418" s="8" t="s">
        <v>13</v>
      </c>
      <c r="E418" s="10">
        <v>324.42</v>
      </c>
      <c r="F418" s="8">
        <v>10</v>
      </c>
      <c r="G418" s="8">
        <v>3</v>
      </c>
      <c r="H418" s="8" t="s">
        <v>20</v>
      </c>
      <c r="I418" s="8" t="s">
        <v>24</v>
      </c>
      <c r="J418" s="8">
        <v>1.1000000000000001</v>
      </c>
      <c r="K418" s="8">
        <v>431</v>
      </c>
      <c r="L418" s="10">
        <v>291.98</v>
      </c>
      <c r="M418" s="10">
        <v>875.94</v>
      </c>
      <c r="O418" s="14" t="str">
        <f t="shared" si="12"/>
        <v>Low</v>
      </c>
      <c r="P418" s="12" t="str">
        <f t="shared" si="13"/>
        <v>Poor</v>
      </c>
    </row>
    <row r="419" spans="1:16" x14ac:dyDescent="0.35">
      <c r="A419" s="8">
        <v>418</v>
      </c>
      <c r="B419" s="9">
        <v>44614</v>
      </c>
      <c r="C419" s="8" t="s">
        <v>445</v>
      </c>
      <c r="D419" s="8" t="s">
        <v>13</v>
      </c>
      <c r="E419" s="10">
        <v>372.46</v>
      </c>
      <c r="F419" s="8">
        <v>0</v>
      </c>
      <c r="G419" s="8">
        <v>2</v>
      </c>
      <c r="H419" s="8" t="s">
        <v>20</v>
      </c>
      <c r="I419" s="8" t="s">
        <v>23</v>
      </c>
      <c r="J419" s="8">
        <v>4.2</v>
      </c>
      <c r="K419" s="8">
        <v>172</v>
      </c>
      <c r="L419" s="10">
        <v>372.46</v>
      </c>
      <c r="M419" s="10">
        <v>744.92</v>
      </c>
      <c r="O419" s="14" t="str">
        <f t="shared" si="12"/>
        <v>Low</v>
      </c>
      <c r="P419" s="12" t="str">
        <f t="shared" si="13"/>
        <v>Good</v>
      </c>
    </row>
    <row r="420" spans="1:16" x14ac:dyDescent="0.35">
      <c r="A420" s="8">
        <v>419</v>
      </c>
      <c r="B420" s="9">
        <v>45133</v>
      </c>
      <c r="C420" s="8" t="s">
        <v>446</v>
      </c>
      <c r="D420" s="8" t="s">
        <v>19</v>
      </c>
      <c r="E420" s="10">
        <v>486.93</v>
      </c>
      <c r="F420" s="8">
        <v>30</v>
      </c>
      <c r="G420" s="8">
        <v>4</v>
      </c>
      <c r="H420" s="8" t="s">
        <v>20</v>
      </c>
      <c r="I420" s="8" t="s">
        <v>18</v>
      </c>
      <c r="J420" s="8">
        <v>3.6</v>
      </c>
      <c r="K420" s="8">
        <v>127</v>
      </c>
      <c r="L420" s="10">
        <v>340.85</v>
      </c>
      <c r="M420" s="10">
        <v>1363.4</v>
      </c>
      <c r="O420" s="14" t="str">
        <f t="shared" si="12"/>
        <v>High</v>
      </c>
      <c r="P420" s="12" t="str">
        <f t="shared" si="13"/>
        <v>Good</v>
      </c>
    </row>
    <row r="421" spans="1:16" x14ac:dyDescent="0.35">
      <c r="A421" s="8">
        <v>420</v>
      </c>
      <c r="B421" s="9">
        <v>45181</v>
      </c>
      <c r="C421" s="8" t="s">
        <v>447</v>
      </c>
      <c r="D421" s="8" t="s">
        <v>16</v>
      </c>
      <c r="E421" s="10">
        <v>449.58</v>
      </c>
      <c r="F421" s="8">
        <v>20</v>
      </c>
      <c r="G421" s="8">
        <v>3</v>
      </c>
      <c r="H421" s="8" t="s">
        <v>14</v>
      </c>
      <c r="I421" s="8" t="s">
        <v>24</v>
      </c>
      <c r="J421" s="8">
        <v>3.8</v>
      </c>
      <c r="K421" s="8">
        <v>296</v>
      </c>
      <c r="L421" s="10">
        <v>359.66</v>
      </c>
      <c r="M421" s="10">
        <v>1078.98</v>
      </c>
      <c r="O421" s="14" t="str">
        <f t="shared" si="12"/>
        <v>High</v>
      </c>
      <c r="P421" s="12" t="str">
        <f t="shared" si="13"/>
        <v>Good</v>
      </c>
    </row>
    <row r="422" spans="1:16" x14ac:dyDescent="0.35">
      <c r="A422" s="8">
        <v>421</v>
      </c>
      <c r="B422" s="9">
        <v>44566</v>
      </c>
      <c r="C422" s="8" t="s">
        <v>448</v>
      </c>
      <c r="D422" s="8" t="s">
        <v>27</v>
      </c>
      <c r="E422" s="10">
        <v>34.24</v>
      </c>
      <c r="F422" s="8">
        <v>30</v>
      </c>
      <c r="G422" s="8">
        <v>5</v>
      </c>
      <c r="H422" s="8" t="s">
        <v>14</v>
      </c>
      <c r="I422" s="8" t="s">
        <v>26</v>
      </c>
      <c r="J422" s="8">
        <v>3.3</v>
      </c>
      <c r="K422" s="8">
        <v>308</v>
      </c>
      <c r="L422" s="10">
        <v>23.97</v>
      </c>
      <c r="M422" s="10">
        <v>119.85</v>
      </c>
      <c r="O422" s="14" t="str">
        <f t="shared" si="12"/>
        <v>Low</v>
      </c>
      <c r="P422" s="12" t="str">
        <f t="shared" si="13"/>
        <v>Good</v>
      </c>
    </row>
    <row r="423" spans="1:16" x14ac:dyDescent="0.35">
      <c r="A423" s="8">
        <v>422</v>
      </c>
      <c r="B423" s="9">
        <v>44664</v>
      </c>
      <c r="C423" s="8" t="s">
        <v>449</v>
      </c>
      <c r="D423" s="8" t="s">
        <v>22</v>
      </c>
      <c r="E423" s="10">
        <v>172.83</v>
      </c>
      <c r="F423" s="8">
        <v>15</v>
      </c>
      <c r="G423" s="8">
        <v>5</v>
      </c>
      <c r="H423" s="8" t="s">
        <v>17</v>
      </c>
      <c r="I423" s="8" t="s">
        <v>15</v>
      </c>
      <c r="J423" s="8">
        <v>4.7</v>
      </c>
      <c r="K423" s="8">
        <v>275</v>
      </c>
      <c r="L423" s="10">
        <v>146.91</v>
      </c>
      <c r="M423" s="10">
        <v>734.55</v>
      </c>
      <c r="O423" s="14" t="str">
        <f t="shared" si="12"/>
        <v>Low</v>
      </c>
      <c r="P423" s="12" t="str">
        <f t="shared" si="13"/>
        <v>Excellent</v>
      </c>
    </row>
    <row r="424" spans="1:16" x14ac:dyDescent="0.35">
      <c r="A424" s="8">
        <v>423</v>
      </c>
      <c r="B424" s="9">
        <v>44757</v>
      </c>
      <c r="C424" s="8" t="s">
        <v>450</v>
      </c>
      <c r="D424" s="8" t="s">
        <v>13</v>
      </c>
      <c r="E424" s="10">
        <v>309.49</v>
      </c>
      <c r="F424" s="8">
        <v>30</v>
      </c>
      <c r="G424" s="8">
        <v>4</v>
      </c>
      <c r="H424" s="8" t="s">
        <v>17</v>
      </c>
      <c r="I424" s="8" t="s">
        <v>15</v>
      </c>
      <c r="J424" s="8">
        <v>3.2</v>
      </c>
      <c r="K424" s="8">
        <v>427</v>
      </c>
      <c r="L424" s="10">
        <v>216.64</v>
      </c>
      <c r="M424" s="10">
        <v>866.56</v>
      </c>
      <c r="O424" s="14" t="str">
        <f t="shared" si="12"/>
        <v>Low</v>
      </c>
      <c r="P424" s="12" t="str">
        <f t="shared" si="13"/>
        <v>Good</v>
      </c>
    </row>
    <row r="425" spans="1:16" x14ac:dyDescent="0.35">
      <c r="A425" s="8">
        <v>424</v>
      </c>
      <c r="B425" s="9">
        <v>44911</v>
      </c>
      <c r="C425" s="8" t="s">
        <v>451</v>
      </c>
      <c r="D425" s="8" t="s">
        <v>25</v>
      </c>
      <c r="E425" s="10">
        <v>428.42</v>
      </c>
      <c r="F425" s="8">
        <v>0</v>
      </c>
      <c r="G425" s="8">
        <v>1</v>
      </c>
      <c r="H425" s="8" t="s">
        <v>17</v>
      </c>
      <c r="I425" s="8" t="s">
        <v>26</v>
      </c>
      <c r="J425" s="8">
        <v>2.1</v>
      </c>
      <c r="K425" s="8">
        <v>352</v>
      </c>
      <c r="L425" s="10">
        <v>428.42</v>
      </c>
      <c r="M425" s="10">
        <v>428.42</v>
      </c>
      <c r="O425" s="14" t="str">
        <f t="shared" si="12"/>
        <v>Low</v>
      </c>
      <c r="P425" s="12" t="str">
        <f t="shared" si="13"/>
        <v>Poor</v>
      </c>
    </row>
    <row r="426" spans="1:16" x14ac:dyDescent="0.35">
      <c r="A426" s="8">
        <v>425</v>
      </c>
      <c r="B426" s="9">
        <v>44608</v>
      </c>
      <c r="C426" s="8" t="s">
        <v>452</v>
      </c>
      <c r="D426" s="8" t="s">
        <v>25</v>
      </c>
      <c r="E426" s="10">
        <v>143.43</v>
      </c>
      <c r="F426" s="8">
        <v>5</v>
      </c>
      <c r="G426" s="8">
        <v>2</v>
      </c>
      <c r="H426" s="8" t="s">
        <v>14</v>
      </c>
      <c r="I426" s="8" t="s">
        <v>24</v>
      </c>
      <c r="J426" s="8">
        <v>4.4000000000000004</v>
      </c>
      <c r="K426" s="8">
        <v>308</v>
      </c>
      <c r="L426" s="10">
        <v>136.26</v>
      </c>
      <c r="M426" s="10">
        <v>272.52</v>
      </c>
      <c r="O426" s="14" t="str">
        <f t="shared" si="12"/>
        <v>Low</v>
      </c>
      <c r="P426" s="12" t="str">
        <f t="shared" si="13"/>
        <v>Good</v>
      </c>
    </row>
    <row r="427" spans="1:16" x14ac:dyDescent="0.35">
      <c r="A427" s="8">
        <v>426</v>
      </c>
      <c r="B427" s="9">
        <v>45217</v>
      </c>
      <c r="C427" s="8" t="s">
        <v>453</v>
      </c>
      <c r="D427" s="8" t="s">
        <v>27</v>
      </c>
      <c r="E427" s="10">
        <v>8.99</v>
      </c>
      <c r="F427" s="8">
        <v>15</v>
      </c>
      <c r="G427" s="8">
        <v>2</v>
      </c>
      <c r="H427" s="8" t="s">
        <v>17</v>
      </c>
      <c r="I427" s="8" t="s">
        <v>24</v>
      </c>
      <c r="J427" s="8">
        <v>4.4000000000000004</v>
      </c>
      <c r="K427" s="8">
        <v>363</v>
      </c>
      <c r="L427" s="10">
        <v>7.64</v>
      </c>
      <c r="M427" s="10">
        <v>15.28</v>
      </c>
      <c r="O427" s="14" t="str">
        <f t="shared" si="12"/>
        <v>Low</v>
      </c>
      <c r="P427" s="12" t="str">
        <f t="shared" si="13"/>
        <v>Good</v>
      </c>
    </row>
    <row r="428" spans="1:16" x14ac:dyDescent="0.35">
      <c r="A428" s="8">
        <v>427</v>
      </c>
      <c r="B428" s="9">
        <v>44830</v>
      </c>
      <c r="C428" s="8" t="s">
        <v>454</v>
      </c>
      <c r="D428" s="8" t="s">
        <v>27</v>
      </c>
      <c r="E428" s="10">
        <v>97.54</v>
      </c>
      <c r="F428" s="8">
        <v>0</v>
      </c>
      <c r="G428" s="8">
        <v>3</v>
      </c>
      <c r="H428" s="8" t="s">
        <v>21</v>
      </c>
      <c r="I428" s="8" t="s">
        <v>15</v>
      </c>
      <c r="J428" s="8">
        <v>4.4000000000000004</v>
      </c>
      <c r="K428" s="8">
        <v>340</v>
      </c>
      <c r="L428" s="10">
        <v>97.54</v>
      </c>
      <c r="M428" s="10">
        <v>292.62</v>
      </c>
      <c r="O428" s="14" t="str">
        <f t="shared" si="12"/>
        <v>Low</v>
      </c>
      <c r="P428" s="12" t="str">
        <f t="shared" si="13"/>
        <v>Good</v>
      </c>
    </row>
    <row r="429" spans="1:16" x14ac:dyDescent="0.35">
      <c r="A429" s="8">
        <v>428</v>
      </c>
      <c r="B429" s="9">
        <v>44931</v>
      </c>
      <c r="C429" s="8" t="s">
        <v>455</v>
      </c>
      <c r="D429" s="8" t="s">
        <v>27</v>
      </c>
      <c r="E429" s="10">
        <v>215.54</v>
      </c>
      <c r="F429" s="8">
        <v>20</v>
      </c>
      <c r="G429" s="8">
        <v>2</v>
      </c>
      <c r="H429" s="8" t="s">
        <v>21</v>
      </c>
      <c r="I429" s="8" t="s">
        <v>15</v>
      </c>
      <c r="J429" s="8">
        <v>2.7</v>
      </c>
      <c r="K429" s="8">
        <v>5</v>
      </c>
      <c r="L429" s="10">
        <v>172.43</v>
      </c>
      <c r="M429" s="10">
        <v>344.86</v>
      </c>
      <c r="O429" s="14" t="str">
        <f t="shared" si="12"/>
        <v>Low</v>
      </c>
      <c r="P429" s="12" t="str">
        <f t="shared" si="13"/>
        <v>Poor</v>
      </c>
    </row>
    <row r="430" spans="1:16" x14ac:dyDescent="0.35">
      <c r="A430" s="8">
        <v>429</v>
      </c>
      <c r="B430" s="9">
        <v>45197</v>
      </c>
      <c r="C430" s="8" t="s">
        <v>456</v>
      </c>
      <c r="D430" s="8" t="s">
        <v>25</v>
      </c>
      <c r="E430" s="10">
        <v>35.270000000000003</v>
      </c>
      <c r="F430" s="8">
        <v>15</v>
      </c>
      <c r="G430" s="8">
        <v>5</v>
      </c>
      <c r="H430" s="8" t="s">
        <v>17</v>
      </c>
      <c r="I430" s="8" t="s">
        <v>26</v>
      </c>
      <c r="J430" s="8">
        <v>2.2999999999999998</v>
      </c>
      <c r="K430" s="8">
        <v>418</v>
      </c>
      <c r="L430" s="10">
        <v>29.98</v>
      </c>
      <c r="M430" s="10">
        <v>149.9</v>
      </c>
      <c r="O430" s="14" t="str">
        <f t="shared" si="12"/>
        <v>Low</v>
      </c>
      <c r="P430" s="12" t="str">
        <f t="shared" si="13"/>
        <v>Poor</v>
      </c>
    </row>
    <row r="431" spans="1:16" x14ac:dyDescent="0.35">
      <c r="A431" s="8">
        <v>430</v>
      </c>
      <c r="B431" s="9">
        <v>44667</v>
      </c>
      <c r="C431" s="8" t="s">
        <v>457</v>
      </c>
      <c r="D431" s="8" t="s">
        <v>22</v>
      </c>
      <c r="E431" s="10">
        <v>25.95</v>
      </c>
      <c r="F431" s="8">
        <v>10</v>
      </c>
      <c r="G431" s="8">
        <v>2</v>
      </c>
      <c r="H431" s="8" t="s">
        <v>17</v>
      </c>
      <c r="I431" s="8" t="s">
        <v>23</v>
      </c>
      <c r="J431" s="8">
        <v>2.4</v>
      </c>
      <c r="K431" s="8">
        <v>92</v>
      </c>
      <c r="L431" s="10">
        <v>23.36</v>
      </c>
      <c r="M431" s="10">
        <v>46.72</v>
      </c>
      <c r="O431" s="14" t="str">
        <f t="shared" si="12"/>
        <v>Low</v>
      </c>
      <c r="P431" s="12" t="str">
        <f t="shared" si="13"/>
        <v>Poor</v>
      </c>
    </row>
    <row r="432" spans="1:16" x14ac:dyDescent="0.35">
      <c r="A432" s="8">
        <v>431</v>
      </c>
      <c r="B432" s="9">
        <v>45231</v>
      </c>
      <c r="C432" s="8" t="s">
        <v>458</v>
      </c>
      <c r="D432" s="8" t="s">
        <v>13</v>
      </c>
      <c r="E432" s="10">
        <v>203.8</v>
      </c>
      <c r="F432" s="8">
        <v>30</v>
      </c>
      <c r="G432" s="8">
        <v>4</v>
      </c>
      <c r="H432" s="8" t="s">
        <v>17</v>
      </c>
      <c r="I432" s="8" t="s">
        <v>18</v>
      </c>
      <c r="J432" s="8">
        <v>4.3</v>
      </c>
      <c r="K432" s="8">
        <v>457</v>
      </c>
      <c r="L432" s="10">
        <v>142.66</v>
      </c>
      <c r="M432" s="10">
        <v>570.64</v>
      </c>
      <c r="O432" s="14" t="str">
        <f t="shared" si="12"/>
        <v>Low</v>
      </c>
      <c r="P432" s="12" t="str">
        <f t="shared" si="13"/>
        <v>Good</v>
      </c>
    </row>
    <row r="433" spans="1:16" x14ac:dyDescent="0.35">
      <c r="A433" s="8">
        <v>432</v>
      </c>
      <c r="B433" s="9">
        <v>45220</v>
      </c>
      <c r="C433" s="8" t="s">
        <v>459</v>
      </c>
      <c r="D433" s="8" t="s">
        <v>25</v>
      </c>
      <c r="E433" s="10">
        <v>325.7</v>
      </c>
      <c r="F433" s="8">
        <v>15</v>
      </c>
      <c r="G433" s="8">
        <v>1</v>
      </c>
      <c r="H433" s="8" t="s">
        <v>20</v>
      </c>
      <c r="I433" s="8" t="s">
        <v>26</v>
      </c>
      <c r="J433" s="8">
        <v>1.6</v>
      </c>
      <c r="K433" s="8">
        <v>464</v>
      </c>
      <c r="L433" s="10">
        <v>276.83999999999997</v>
      </c>
      <c r="M433" s="10">
        <v>276.83999999999997</v>
      </c>
      <c r="O433" s="14" t="str">
        <f t="shared" si="12"/>
        <v>Low</v>
      </c>
      <c r="P433" s="12" t="str">
        <f t="shared" si="13"/>
        <v>Poor</v>
      </c>
    </row>
    <row r="434" spans="1:16" x14ac:dyDescent="0.35">
      <c r="A434" s="8">
        <v>433</v>
      </c>
      <c r="B434" s="9">
        <v>45218</v>
      </c>
      <c r="C434" s="8" t="s">
        <v>460</v>
      </c>
      <c r="D434" s="8" t="s">
        <v>13</v>
      </c>
      <c r="E434" s="10">
        <v>356.7</v>
      </c>
      <c r="F434" s="8">
        <v>0</v>
      </c>
      <c r="G434" s="8">
        <v>5</v>
      </c>
      <c r="H434" s="8" t="s">
        <v>14</v>
      </c>
      <c r="I434" s="8" t="s">
        <v>23</v>
      </c>
      <c r="J434" s="8">
        <v>4.5999999999999996</v>
      </c>
      <c r="K434" s="8">
        <v>495</v>
      </c>
      <c r="L434" s="10">
        <v>356.7</v>
      </c>
      <c r="M434" s="10">
        <v>1783.5</v>
      </c>
      <c r="O434" s="14" t="str">
        <f t="shared" si="12"/>
        <v>High</v>
      </c>
      <c r="P434" s="12" t="str">
        <f t="shared" si="13"/>
        <v>Excellent</v>
      </c>
    </row>
    <row r="435" spans="1:16" x14ac:dyDescent="0.35">
      <c r="A435" s="8">
        <v>434</v>
      </c>
      <c r="B435" s="9">
        <v>44681</v>
      </c>
      <c r="C435" s="8" t="s">
        <v>461</v>
      </c>
      <c r="D435" s="8" t="s">
        <v>27</v>
      </c>
      <c r="E435" s="10">
        <v>268.74</v>
      </c>
      <c r="F435" s="8">
        <v>5</v>
      </c>
      <c r="G435" s="8">
        <v>2</v>
      </c>
      <c r="H435" s="8" t="s">
        <v>21</v>
      </c>
      <c r="I435" s="8" t="s">
        <v>15</v>
      </c>
      <c r="J435" s="8">
        <v>3.8</v>
      </c>
      <c r="K435" s="8">
        <v>373</v>
      </c>
      <c r="L435" s="10">
        <v>255.3</v>
      </c>
      <c r="M435" s="10">
        <v>510.6</v>
      </c>
      <c r="O435" s="14" t="str">
        <f t="shared" si="12"/>
        <v>Low</v>
      </c>
      <c r="P435" s="12" t="str">
        <f t="shared" si="13"/>
        <v>Good</v>
      </c>
    </row>
    <row r="436" spans="1:16" x14ac:dyDescent="0.35">
      <c r="A436" s="8">
        <v>435</v>
      </c>
      <c r="B436" s="9">
        <v>45165</v>
      </c>
      <c r="C436" s="8" t="s">
        <v>462</v>
      </c>
      <c r="D436" s="8" t="s">
        <v>19</v>
      </c>
      <c r="E436" s="10">
        <v>220.76</v>
      </c>
      <c r="F436" s="8">
        <v>15</v>
      </c>
      <c r="G436" s="8">
        <v>2</v>
      </c>
      <c r="H436" s="8" t="s">
        <v>20</v>
      </c>
      <c r="I436" s="8" t="s">
        <v>23</v>
      </c>
      <c r="J436" s="8">
        <v>4.5</v>
      </c>
      <c r="K436" s="8">
        <v>313</v>
      </c>
      <c r="L436" s="10">
        <v>187.65</v>
      </c>
      <c r="M436" s="10">
        <v>375.3</v>
      </c>
      <c r="O436" s="14" t="str">
        <f t="shared" si="12"/>
        <v>Low</v>
      </c>
      <c r="P436" s="12" t="str">
        <f t="shared" si="13"/>
        <v>Excellent</v>
      </c>
    </row>
    <row r="437" spans="1:16" x14ac:dyDescent="0.35">
      <c r="A437" s="8">
        <v>436</v>
      </c>
      <c r="B437" s="9">
        <v>44619</v>
      </c>
      <c r="C437" s="8" t="s">
        <v>463</v>
      </c>
      <c r="D437" s="8" t="s">
        <v>16</v>
      </c>
      <c r="E437" s="10">
        <v>14.33</v>
      </c>
      <c r="F437" s="8">
        <v>30</v>
      </c>
      <c r="G437" s="8">
        <v>3</v>
      </c>
      <c r="H437" s="8" t="s">
        <v>21</v>
      </c>
      <c r="I437" s="8" t="s">
        <v>18</v>
      </c>
      <c r="J437" s="8">
        <v>3.3</v>
      </c>
      <c r="K437" s="8">
        <v>225</v>
      </c>
      <c r="L437" s="10">
        <v>10.029999999999999</v>
      </c>
      <c r="M437" s="10">
        <v>30.09</v>
      </c>
      <c r="O437" s="14" t="str">
        <f t="shared" si="12"/>
        <v>Low</v>
      </c>
      <c r="P437" s="12" t="str">
        <f t="shared" si="13"/>
        <v>Good</v>
      </c>
    </row>
    <row r="438" spans="1:16" x14ac:dyDescent="0.35">
      <c r="A438" s="8">
        <v>437</v>
      </c>
      <c r="B438" s="9">
        <v>44907</v>
      </c>
      <c r="C438" s="8" t="s">
        <v>464</v>
      </c>
      <c r="D438" s="8" t="s">
        <v>22</v>
      </c>
      <c r="E438" s="10">
        <v>134.97999999999999</v>
      </c>
      <c r="F438" s="8">
        <v>10</v>
      </c>
      <c r="G438" s="8">
        <v>4</v>
      </c>
      <c r="H438" s="8" t="s">
        <v>17</v>
      </c>
      <c r="I438" s="8" t="s">
        <v>26</v>
      </c>
      <c r="J438" s="8">
        <v>4.5</v>
      </c>
      <c r="K438" s="8">
        <v>220</v>
      </c>
      <c r="L438" s="10">
        <v>121.48</v>
      </c>
      <c r="M438" s="10">
        <v>485.92</v>
      </c>
      <c r="O438" s="14" t="str">
        <f t="shared" si="12"/>
        <v>Low</v>
      </c>
      <c r="P438" s="12" t="str">
        <f t="shared" si="13"/>
        <v>Excellent</v>
      </c>
    </row>
    <row r="439" spans="1:16" x14ac:dyDescent="0.35">
      <c r="A439" s="8">
        <v>438</v>
      </c>
      <c r="B439" s="9">
        <v>45035</v>
      </c>
      <c r="C439" s="8" t="s">
        <v>465</v>
      </c>
      <c r="D439" s="8" t="s">
        <v>19</v>
      </c>
      <c r="E439" s="10">
        <v>336.59</v>
      </c>
      <c r="F439" s="8">
        <v>5</v>
      </c>
      <c r="G439" s="8">
        <v>5</v>
      </c>
      <c r="H439" s="8" t="s">
        <v>17</v>
      </c>
      <c r="I439" s="8" t="s">
        <v>23</v>
      </c>
      <c r="J439" s="8">
        <v>3.6</v>
      </c>
      <c r="K439" s="8">
        <v>121</v>
      </c>
      <c r="L439" s="10">
        <v>319.76</v>
      </c>
      <c r="M439" s="10">
        <v>1598.8</v>
      </c>
      <c r="O439" s="14" t="str">
        <f t="shared" si="12"/>
        <v>High</v>
      </c>
      <c r="P439" s="12" t="str">
        <f t="shared" si="13"/>
        <v>Good</v>
      </c>
    </row>
    <row r="440" spans="1:16" x14ac:dyDescent="0.35">
      <c r="A440" s="8">
        <v>439</v>
      </c>
      <c r="B440" s="9">
        <v>44678</v>
      </c>
      <c r="C440" s="8" t="s">
        <v>466</v>
      </c>
      <c r="D440" s="8" t="s">
        <v>27</v>
      </c>
      <c r="E440" s="10">
        <v>227.53</v>
      </c>
      <c r="F440" s="8">
        <v>10</v>
      </c>
      <c r="G440" s="8">
        <v>3</v>
      </c>
      <c r="H440" s="8" t="s">
        <v>20</v>
      </c>
      <c r="I440" s="8" t="s">
        <v>26</v>
      </c>
      <c r="J440" s="8">
        <v>3.5</v>
      </c>
      <c r="K440" s="8">
        <v>498</v>
      </c>
      <c r="L440" s="10">
        <v>204.78</v>
      </c>
      <c r="M440" s="10">
        <v>614.34</v>
      </c>
      <c r="O440" s="14" t="str">
        <f t="shared" si="12"/>
        <v>Low</v>
      </c>
      <c r="P440" s="12" t="str">
        <f t="shared" si="13"/>
        <v>Good</v>
      </c>
    </row>
    <row r="441" spans="1:16" x14ac:dyDescent="0.35">
      <c r="A441" s="8">
        <v>440</v>
      </c>
      <c r="B441" s="9">
        <v>44688</v>
      </c>
      <c r="C441" s="8" t="s">
        <v>467</v>
      </c>
      <c r="D441" s="8" t="s">
        <v>27</v>
      </c>
      <c r="E441" s="10">
        <v>135.74</v>
      </c>
      <c r="F441" s="8">
        <v>5</v>
      </c>
      <c r="G441" s="8">
        <v>2</v>
      </c>
      <c r="H441" s="8" t="s">
        <v>17</v>
      </c>
      <c r="I441" s="8" t="s">
        <v>15</v>
      </c>
      <c r="J441" s="8">
        <v>3.7</v>
      </c>
      <c r="K441" s="8">
        <v>111</v>
      </c>
      <c r="L441" s="10">
        <v>128.94999999999999</v>
      </c>
      <c r="M441" s="10">
        <v>257.89999999999998</v>
      </c>
      <c r="O441" s="14" t="str">
        <f t="shared" si="12"/>
        <v>Low</v>
      </c>
      <c r="P441" s="12" t="str">
        <f t="shared" si="13"/>
        <v>Good</v>
      </c>
    </row>
    <row r="442" spans="1:16" x14ac:dyDescent="0.35">
      <c r="A442" s="8">
        <v>441</v>
      </c>
      <c r="B442" s="9">
        <v>44954</v>
      </c>
      <c r="C442" s="8" t="s">
        <v>468</v>
      </c>
      <c r="D442" s="8" t="s">
        <v>13</v>
      </c>
      <c r="E442" s="10">
        <v>118.56</v>
      </c>
      <c r="F442" s="8">
        <v>15</v>
      </c>
      <c r="G442" s="8">
        <v>4</v>
      </c>
      <c r="H442" s="8" t="s">
        <v>20</v>
      </c>
      <c r="I442" s="8" t="s">
        <v>24</v>
      </c>
      <c r="J442" s="8">
        <v>2.2000000000000002</v>
      </c>
      <c r="K442" s="8">
        <v>30</v>
      </c>
      <c r="L442" s="10">
        <v>100.78</v>
      </c>
      <c r="M442" s="10">
        <v>403.12</v>
      </c>
      <c r="O442" s="14" t="str">
        <f t="shared" si="12"/>
        <v>Low</v>
      </c>
      <c r="P442" s="12" t="str">
        <f t="shared" si="13"/>
        <v>Poor</v>
      </c>
    </row>
    <row r="443" spans="1:16" x14ac:dyDescent="0.35">
      <c r="A443" s="8">
        <v>442</v>
      </c>
      <c r="B443" s="9">
        <v>45202</v>
      </c>
      <c r="C443" s="8" t="s">
        <v>469</v>
      </c>
      <c r="D443" s="8" t="s">
        <v>25</v>
      </c>
      <c r="E443" s="10">
        <v>13.55</v>
      </c>
      <c r="F443" s="8">
        <v>0</v>
      </c>
      <c r="G443" s="8">
        <v>3</v>
      </c>
      <c r="H443" s="8" t="s">
        <v>17</v>
      </c>
      <c r="I443" s="8" t="s">
        <v>18</v>
      </c>
      <c r="J443" s="8">
        <v>2.4</v>
      </c>
      <c r="K443" s="8">
        <v>134</v>
      </c>
      <c r="L443" s="10">
        <v>13.55</v>
      </c>
      <c r="M443" s="10">
        <v>40.65</v>
      </c>
      <c r="O443" s="14" t="str">
        <f t="shared" si="12"/>
        <v>Low</v>
      </c>
      <c r="P443" s="12" t="str">
        <f t="shared" si="13"/>
        <v>Poor</v>
      </c>
    </row>
    <row r="444" spans="1:16" x14ac:dyDescent="0.35">
      <c r="A444" s="8">
        <v>443</v>
      </c>
      <c r="B444" s="9">
        <v>44619</v>
      </c>
      <c r="C444" s="8" t="s">
        <v>470</v>
      </c>
      <c r="D444" s="8" t="s">
        <v>16</v>
      </c>
      <c r="E444" s="10">
        <v>413.41</v>
      </c>
      <c r="F444" s="8">
        <v>5</v>
      </c>
      <c r="G444" s="8">
        <v>1</v>
      </c>
      <c r="H444" s="8" t="s">
        <v>17</v>
      </c>
      <c r="I444" s="8" t="s">
        <v>26</v>
      </c>
      <c r="J444" s="8">
        <v>4.5</v>
      </c>
      <c r="K444" s="8">
        <v>29</v>
      </c>
      <c r="L444" s="10">
        <v>392.74</v>
      </c>
      <c r="M444" s="10">
        <v>392.74</v>
      </c>
      <c r="O444" s="14" t="str">
        <f t="shared" si="12"/>
        <v>Low</v>
      </c>
      <c r="P444" s="12" t="str">
        <f t="shared" si="13"/>
        <v>Excellent</v>
      </c>
    </row>
    <row r="445" spans="1:16" x14ac:dyDescent="0.35">
      <c r="A445" s="8">
        <v>444</v>
      </c>
      <c r="B445" s="9">
        <v>45195</v>
      </c>
      <c r="C445" s="8" t="s">
        <v>471</v>
      </c>
      <c r="D445" s="8" t="s">
        <v>22</v>
      </c>
      <c r="E445" s="10">
        <v>439.63</v>
      </c>
      <c r="F445" s="8">
        <v>5</v>
      </c>
      <c r="G445" s="8">
        <v>2</v>
      </c>
      <c r="H445" s="8" t="s">
        <v>21</v>
      </c>
      <c r="I445" s="8" t="s">
        <v>18</v>
      </c>
      <c r="J445" s="8">
        <v>3.6</v>
      </c>
      <c r="K445" s="8">
        <v>162</v>
      </c>
      <c r="L445" s="10">
        <v>417.65</v>
      </c>
      <c r="M445" s="10">
        <v>835.3</v>
      </c>
      <c r="O445" s="14" t="str">
        <f t="shared" si="12"/>
        <v>Low</v>
      </c>
      <c r="P445" s="12" t="str">
        <f t="shared" si="13"/>
        <v>Good</v>
      </c>
    </row>
    <row r="446" spans="1:16" x14ac:dyDescent="0.35">
      <c r="A446" s="8">
        <v>445</v>
      </c>
      <c r="B446" s="9">
        <v>45074</v>
      </c>
      <c r="C446" s="8" t="s">
        <v>472</v>
      </c>
      <c r="D446" s="8" t="s">
        <v>16</v>
      </c>
      <c r="E446" s="10">
        <v>186.01</v>
      </c>
      <c r="F446" s="8">
        <v>20</v>
      </c>
      <c r="G446" s="8">
        <v>4</v>
      </c>
      <c r="H446" s="8" t="s">
        <v>21</v>
      </c>
      <c r="I446" s="8" t="s">
        <v>23</v>
      </c>
      <c r="J446" s="8">
        <v>2.2000000000000002</v>
      </c>
      <c r="K446" s="8">
        <v>186</v>
      </c>
      <c r="L446" s="10">
        <v>148.81</v>
      </c>
      <c r="M446" s="10">
        <v>595.24</v>
      </c>
      <c r="O446" s="14" t="str">
        <f t="shared" si="12"/>
        <v>Low</v>
      </c>
      <c r="P446" s="12" t="str">
        <f t="shared" si="13"/>
        <v>Poor</v>
      </c>
    </row>
    <row r="447" spans="1:16" x14ac:dyDescent="0.35">
      <c r="A447" s="8">
        <v>446</v>
      </c>
      <c r="B447" s="9">
        <v>44657</v>
      </c>
      <c r="C447" s="8" t="s">
        <v>473</v>
      </c>
      <c r="D447" s="8" t="s">
        <v>27</v>
      </c>
      <c r="E447" s="10">
        <v>352.12</v>
      </c>
      <c r="F447" s="8">
        <v>15</v>
      </c>
      <c r="G447" s="8">
        <v>1</v>
      </c>
      <c r="H447" s="8" t="s">
        <v>21</v>
      </c>
      <c r="I447" s="8" t="s">
        <v>24</v>
      </c>
      <c r="J447" s="8">
        <v>3.6</v>
      </c>
      <c r="K447" s="8">
        <v>360</v>
      </c>
      <c r="L447" s="10">
        <v>299.3</v>
      </c>
      <c r="M447" s="10">
        <v>299.3</v>
      </c>
      <c r="O447" s="14" t="str">
        <f t="shared" si="12"/>
        <v>Low</v>
      </c>
      <c r="P447" s="12" t="str">
        <f t="shared" si="13"/>
        <v>Good</v>
      </c>
    </row>
    <row r="448" spans="1:16" x14ac:dyDescent="0.35">
      <c r="A448" s="8">
        <v>447</v>
      </c>
      <c r="B448" s="9">
        <v>45199</v>
      </c>
      <c r="C448" s="8" t="s">
        <v>474</v>
      </c>
      <c r="D448" s="8" t="s">
        <v>16</v>
      </c>
      <c r="E448" s="10">
        <v>37.159999999999997</v>
      </c>
      <c r="F448" s="8">
        <v>30</v>
      </c>
      <c r="G448" s="8">
        <v>4</v>
      </c>
      <c r="H448" s="8" t="s">
        <v>14</v>
      </c>
      <c r="I448" s="8" t="s">
        <v>24</v>
      </c>
      <c r="J448" s="8">
        <v>4.7</v>
      </c>
      <c r="K448" s="8">
        <v>446</v>
      </c>
      <c r="L448" s="10">
        <v>26.01</v>
      </c>
      <c r="M448" s="10">
        <v>104.04</v>
      </c>
      <c r="O448" s="14" t="str">
        <f t="shared" si="12"/>
        <v>Low</v>
      </c>
      <c r="P448" s="12" t="str">
        <f t="shared" si="13"/>
        <v>Excellent</v>
      </c>
    </row>
    <row r="449" spans="1:16" x14ac:dyDescent="0.35">
      <c r="A449" s="8">
        <v>448</v>
      </c>
      <c r="B449" s="9">
        <v>44679</v>
      </c>
      <c r="C449" s="8" t="s">
        <v>475</v>
      </c>
      <c r="D449" s="8" t="s">
        <v>22</v>
      </c>
      <c r="E449" s="10">
        <v>444.92</v>
      </c>
      <c r="F449" s="8">
        <v>15</v>
      </c>
      <c r="G449" s="8">
        <v>4</v>
      </c>
      <c r="H449" s="8" t="s">
        <v>14</v>
      </c>
      <c r="I449" s="8" t="s">
        <v>24</v>
      </c>
      <c r="J449" s="8">
        <v>3.5</v>
      </c>
      <c r="K449" s="8">
        <v>167</v>
      </c>
      <c r="L449" s="10">
        <v>378.18</v>
      </c>
      <c r="M449" s="10">
        <v>1512.72</v>
      </c>
      <c r="O449" s="14" t="str">
        <f t="shared" si="12"/>
        <v>High</v>
      </c>
      <c r="P449" s="12" t="str">
        <f t="shared" si="13"/>
        <v>Good</v>
      </c>
    </row>
    <row r="450" spans="1:16" x14ac:dyDescent="0.35">
      <c r="A450" s="8">
        <v>449</v>
      </c>
      <c r="B450" s="9">
        <v>45121</v>
      </c>
      <c r="C450" s="8" t="s">
        <v>476</v>
      </c>
      <c r="D450" s="8" t="s">
        <v>27</v>
      </c>
      <c r="E450" s="10">
        <v>453.86</v>
      </c>
      <c r="F450" s="8">
        <v>10</v>
      </c>
      <c r="G450" s="8">
        <v>5</v>
      </c>
      <c r="H450" s="8" t="s">
        <v>17</v>
      </c>
      <c r="I450" s="8" t="s">
        <v>26</v>
      </c>
      <c r="J450" s="8">
        <v>4.0999999999999996</v>
      </c>
      <c r="K450" s="8">
        <v>420</v>
      </c>
      <c r="L450" s="10">
        <v>408.47</v>
      </c>
      <c r="M450" s="10">
        <v>2042.35</v>
      </c>
      <c r="O450" s="14" t="str">
        <f t="shared" si="12"/>
        <v>High</v>
      </c>
      <c r="P450" s="12" t="str">
        <f t="shared" si="13"/>
        <v>Good</v>
      </c>
    </row>
    <row r="451" spans="1:16" x14ac:dyDescent="0.35">
      <c r="A451" s="8">
        <v>450</v>
      </c>
      <c r="B451" s="9">
        <v>45162</v>
      </c>
      <c r="C451" s="8" t="s">
        <v>477</v>
      </c>
      <c r="D451" s="8" t="s">
        <v>22</v>
      </c>
      <c r="E451" s="10">
        <v>82.64</v>
      </c>
      <c r="F451" s="8">
        <v>30</v>
      </c>
      <c r="G451" s="8">
        <v>4</v>
      </c>
      <c r="H451" s="8" t="s">
        <v>20</v>
      </c>
      <c r="I451" s="8" t="s">
        <v>23</v>
      </c>
      <c r="J451" s="8">
        <v>1.8</v>
      </c>
      <c r="K451" s="8">
        <v>1</v>
      </c>
      <c r="L451" s="10">
        <v>57.85</v>
      </c>
      <c r="M451" s="10">
        <v>231.4</v>
      </c>
      <c r="O451" s="14" t="str">
        <f t="shared" ref="O451:O501" si="14">IF(M451 &gt; 1000, "High", "Low")</f>
        <v>Low</v>
      </c>
      <c r="P451" s="12" t="str">
        <f t="shared" ref="P451:P501" si="15">IF(J451 &gt;= 4.5, "Excellent", IF(J451 &gt;= 3, "Good", "Poor"))</f>
        <v>Poor</v>
      </c>
    </row>
    <row r="452" spans="1:16" x14ac:dyDescent="0.35">
      <c r="A452" s="8">
        <v>451</v>
      </c>
      <c r="B452" s="9">
        <v>45049</v>
      </c>
      <c r="C452" s="8" t="s">
        <v>478</v>
      </c>
      <c r="D452" s="8" t="s">
        <v>16</v>
      </c>
      <c r="E452" s="10">
        <v>391.4</v>
      </c>
      <c r="F452" s="8">
        <v>0</v>
      </c>
      <c r="G452" s="8">
        <v>3</v>
      </c>
      <c r="H452" s="8" t="s">
        <v>14</v>
      </c>
      <c r="I452" s="8" t="s">
        <v>15</v>
      </c>
      <c r="J452" s="8">
        <v>1.7</v>
      </c>
      <c r="K452" s="8">
        <v>462</v>
      </c>
      <c r="L452" s="10">
        <v>391.4</v>
      </c>
      <c r="M452" s="10">
        <v>1174.2</v>
      </c>
      <c r="O452" s="14" t="str">
        <f t="shared" si="14"/>
        <v>High</v>
      </c>
      <c r="P452" s="12" t="str">
        <f t="shared" si="15"/>
        <v>Poor</v>
      </c>
    </row>
    <row r="453" spans="1:16" x14ac:dyDescent="0.35">
      <c r="A453" s="8">
        <v>452</v>
      </c>
      <c r="B453" s="9">
        <v>44798</v>
      </c>
      <c r="C453" s="8" t="s">
        <v>479</v>
      </c>
      <c r="D453" s="8" t="s">
        <v>19</v>
      </c>
      <c r="E453" s="10">
        <v>239.26</v>
      </c>
      <c r="F453" s="8">
        <v>0</v>
      </c>
      <c r="G453" s="8">
        <v>2</v>
      </c>
      <c r="H453" s="8" t="s">
        <v>20</v>
      </c>
      <c r="I453" s="8" t="s">
        <v>23</v>
      </c>
      <c r="J453" s="8">
        <v>1.4</v>
      </c>
      <c r="K453" s="8">
        <v>231</v>
      </c>
      <c r="L453" s="10">
        <v>239.26</v>
      </c>
      <c r="M453" s="10">
        <v>478.52</v>
      </c>
      <c r="O453" s="14" t="str">
        <f t="shared" si="14"/>
        <v>Low</v>
      </c>
      <c r="P453" s="12" t="str">
        <f t="shared" si="15"/>
        <v>Poor</v>
      </c>
    </row>
    <row r="454" spans="1:16" x14ac:dyDescent="0.35">
      <c r="A454" s="8">
        <v>453</v>
      </c>
      <c r="B454" s="9">
        <v>44833</v>
      </c>
      <c r="C454" s="8" t="s">
        <v>480</v>
      </c>
      <c r="D454" s="8" t="s">
        <v>27</v>
      </c>
      <c r="E454" s="10">
        <v>342.1</v>
      </c>
      <c r="F454" s="8">
        <v>15</v>
      </c>
      <c r="G454" s="8">
        <v>4</v>
      </c>
      <c r="H454" s="8" t="s">
        <v>14</v>
      </c>
      <c r="I454" s="8" t="s">
        <v>23</v>
      </c>
      <c r="J454" s="8">
        <v>3.7</v>
      </c>
      <c r="K454" s="8">
        <v>34</v>
      </c>
      <c r="L454" s="10">
        <v>290.79000000000002</v>
      </c>
      <c r="M454" s="10">
        <v>1163.1600000000001</v>
      </c>
      <c r="O454" s="14" t="str">
        <f t="shared" si="14"/>
        <v>High</v>
      </c>
      <c r="P454" s="12" t="str">
        <f t="shared" si="15"/>
        <v>Good</v>
      </c>
    </row>
    <row r="455" spans="1:16" x14ac:dyDescent="0.35">
      <c r="A455" s="8">
        <v>454</v>
      </c>
      <c r="B455" s="9">
        <v>44750</v>
      </c>
      <c r="C455" s="8" t="s">
        <v>481</v>
      </c>
      <c r="D455" s="8" t="s">
        <v>27</v>
      </c>
      <c r="E455" s="10">
        <v>239.97</v>
      </c>
      <c r="F455" s="8">
        <v>20</v>
      </c>
      <c r="G455" s="8">
        <v>1</v>
      </c>
      <c r="H455" s="8" t="s">
        <v>14</v>
      </c>
      <c r="I455" s="8" t="s">
        <v>15</v>
      </c>
      <c r="J455" s="8">
        <v>3.3</v>
      </c>
      <c r="K455" s="8">
        <v>453</v>
      </c>
      <c r="L455" s="10">
        <v>191.98</v>
      </c>
      <c r="M455" s="10">
        <v>191.98</v>
      </c>
      <c r="O455" s="14" t="str">
        <f t="shared" si="14"/>
        <v>Low</v>
      </c>
      <c r="P455" s="12" t="str">
        <f t="shared" si="15"/>
        <v>Good</v>
      </c>
    </row>
    <row r="456" spans="1:16" x14ac:dyDescent="0.35">
      <c r="A456" s="8">
        <v>455</v>
      </c>
      <c r="B456" s="9">
        <v>45265</v>
      </c>
      <c r="C456" s="8" t="s">
        <v>482</v>
      </c>
      <c r="D456" s="8" t="s">
        <v>19</v>
      </c>
      <c r="E456" s="10">
        <v>43.94</v>
      </c>
      <c r="F456" s="8">
        <v>0</v>
      </c>
      <c r="G456" s="8">
        <v>4</v>
      </c>
      <c r="H456" s="8" t="s">
        <v>20</v>
      </c>
      <c r="I456" s="8" t="s">
        <v>24</v>
      </c>
      <c r="J456" s="8">
        <v>1.1000000000000001</v>
      </c>
      <c r="K456" s="8">
        <v>372</v>
      </c>
      <c r="L456" s="10">
        <v>43.94</v>
      </c>
      <c r="M456" s="10">
        <v>175.76</v>
      </c>
      <c r="O456" s="14" t="str">
        <f t="shared" si="14"/>
        <v>Low</v>
      </c>
      <c r="P456" s="12" t="str">
        <f t="shared" si="15"/>
        <v>Poor</v>
      </c>
    </row>
    <row r="457" spans="1:16" x14ac:dyDescent="0.35">
      <c r="A457" s="8">
        <v>456</v>
      </c>
      <c r="B457" s="9">
        <v>45008</v>
      </c>
      <c r="C457" s="8" t="s">
        <v>483</v>
      </c>
      <c r="D457" s="8" t="s">
        <v>22</v>
      </c>
      <c r="E457" s="10">
        <v>420.82</v>
      </c>
      <c r="F457" s="8">
        <v>10</v>
      </c>
      <c r="G457" s="8">
        <v>5</v>
      </c>
      <c r="H457" s="8" t="s">
        <v>21</v>
      </c>
      <c r="I457" s="8" t="s">
        <v>15</v>
      </c>
      <c r="J457" s="8">
        <v>1.8</v>
      </c>
      <c r="K457" s="8">
        <v>305</v>
      </c>
      <c r="L457" s="10">
        <v>378.74</v>
      </c>
      <c r="M457" s="10">
        <v>1893.7</v>
      </c>
      <c r="O457" s="14" t="str">
        <f t="shared" si="14"/>
        <v>High</v>
      </c>
      <c r="P457" s="12" t="str">
        <f t="shared" si="15"/>
        <v>Poor</v>
      </c>
    </row>
    <row r="458" spans="1:16" x14ac:dyDescent="0.35">
      <c r="A458" s="8">
        <v>457</v>
      </c>
      <c r="B458" s="9">
        <v>45142</v>
      </c>
      <c r="C458" s="8" t="s">
        <v>484</v>
      </c>
      <c r="D458" s="8" t="s">
        <v>25</v>
      </c>
      <c r="E458" s="10">
        <v>47.44</v>
      </c>
      <c r="F458" s="8">
        <v>15</v>
      </c>
      <c r="G458" s="8">
        <v>5</v>
      </c>
      <c r="H458" s="8" t="s">
        <v>21</v>
      </c>
      <c r="I458" s="8" t="s">
        <v>24</v>
      </c>
      <c r="J458" s="8">
        <v>4.2</v>
      </c>
      <c r="K458" s="8">
        <v>242</v>
      </c>
      <c r="L458" s="10">
        <v>40.32</v>
      </c>
      <c r="M458" s="10">
        <v>201.6</v>
      </c>
      <c r="O458" s="14" t="str">
        <f t="shared" si="14"/>
        <v>Low</v>
      </c>
      <c r="P458" s="12" t="str">
        <f t="shared" si="15"/>
        <v>Good</v>
      </c>
    </row>
    <row r="459" spans="1:16" x14ac:dyDescent="0.35">
      <c r="A459" s="8">
        <v>458</v>
      </c>
      <c r="B459" s="9">
        <v>44808</v>
      </c>
      <c r="C459" s="8" t="s">
        <v>485</v>
      </c>
      <c r="D459" s="8" t="s">
        <v>27</v>
      </c>
      <c r="E459" s="10">
        <v>183.28</v>
      </c>
      <c r="F459" s="8">
        <v>20</v>
      </c>
      <c r="G459" s="8">
        <v>5</v>
      </c>
      <c r="H459" s="8" t="s">
        <v>20</v>
      </c>
      <c r="I459" s="8" t="s">
        <v>23</v>
      </c>
      <c r="J459" s="8">
        <v>3.3</v>
      </c>
      <c r="K459" s="8">
        <v>412</v>
      </c>
      <c r="L459" s="10">
        <v>146.62</v>
      </c>
      <c r="M459" s="10">
        <v>733.1</v>
      </c>
      <c r="O459" s="14" t="str">
        <f t="shared" si="14"/>
        <v>Low</v>
      </c>
      <c r="P459" s="12" t="str">
        <f t="shared" si="15"/>
        <v>Good</v>
      </c>
    </row>
    <row r="460" spans="1:16" x14ac:dyDescent="0.35">
      <c r="A460" s="8">
        <v>459</v>
      </c>
      <c r="B460" s="9">
        <v>44637</v>
      </c>
      <c r="C460" s="8" t="s">
        <v>486</v>
      </c>
      <c r="D460" s="8" t="s">
        <v>22</v>
      </c>
      <c r="E460" s="10">
        <v>493.05</v>
      </c>
      <c r="F460" s="8">
        <v>30</v>
      </c>
      <c r="G460" s="8">
        <v>1</v>
      </c>
      <c r="H460" s="8" t="s">
        <v>14</v>
      </c>
      <c r="I460" s="8" t="s">
        <v>18</v>
      </c>
      <c r="J460" s="8">
        <v>1.9</v>
      </c>
      <c r="K460" s="8">
        <v>205</v>
      </c>
      <c r="L460" s="10">
        <v>345.14</v>
      </c>
      <c r="M460" s="10">
        <v>345.14</v>
      </c>
      <c r="O460" s="14" t="str">
        <f t="shared" si="14"/>
        <v>Low</v>
      </c>
      <c r="P460" s="12" t="str">
        <f t="shared" si="15"/>
        <v>Poor</v>
      </c>
    </row>
    <row r="461" spans="1:16" x14ac:dyDescent="0.35">
      <c r="A461" s="8">
        <v>460</v>
      </c>
      <c r="B461" s="9">
        <v>44715</v>
      </c>
      <c r="C461" s="8" t="s">
        <v>487</v>
      </c>
      <c r="D461" s="8" t="s">
        <v>22</v>
      </c>
      <c r="E461" s="10">
        <v>216.21</v>
      </c>
      <c r="F461" s="8">
        <v>0</v>
      </c>
      <c r="G461" s="8">
        <v>5</v>
      </c>
      <c r="H461" s="8" t="s">
        <v>14</v>
      </c>
      <c r="I461" s="8" t="s">
        <v>24</v>
      </c>
      <c r="J461" s="8">
        <v>2.1</v>
      </c>
      <c r="K461" s="8">
        <v>4</v>
      </c>
      <c r="L461" s="10">
        <v>216.21</v>
      </c>
      <c r="M461" s="10">
        <v>1081.05</v>
      </c>
      <c r="O461" s="14" t="str">
        <f t="shared" si="14"/>
        <v>High</v>
      </c>
      <c r="P461" s="12" t="str">
        <f t="shared" si="15"/>
        <v>Poor</v>
      </c>
    </row>
    <row r="462" spans="1:16" x14ac:dyDescent="0.35">
      <c r="A462" s="8">
        <v>461</v>
      </c>
      <c r="B462" s="9">
        <v>45217</v>
      </c>
      <c r="C462" s="8" t="s">
        <v>488</v>
      </c>
      <c r="D462" s="8" t="s">
        <v>22</v>
      </c>
      <c r="E462" s="10">
        <v>411.04</v>
      </c>
      <c r="F462" s="8">
        <v>20</v>
      </c>
      <c r="G462" s="8">
        <v>4</v>
      </c>
      <c r="H462" s="8" t="s">
        <v>14</v>
      </c>
      <c r="I462" s="8" t="s">
        <v>23</v>
      </c>
      <c r="J462" s="8">
        <v>1.9</v>
      </c>
      <c r="K462" s="8">
        <v>14</v>
      </c>
      <c r="L462" s="10">
        <v>328.83</v>
      </c>
      <c r="M462" s="10">
        <v>1315.32</v>
      </c>
      <c r="O462" s="14" t="str">
        <f t="shared" si="14"/>
        <v>High</v>
      </c>
      <c r="P462" s="12" t="str">
        <f t="shared" si="15"/>
        <v>Poor</v>
      </c>
    </row>
    <row r="463" spans="1:16" x14ac:dyDescent="0.35">
      <c r="A463" s="8">
        <v>462</v>
      </c>
      <c r="B463" s="9">
        <v>44996</v>
      </c>
      <c r="C463" s="8" t="s">
        <v>489</v>
      </c>
      <c r="D463" s="8" t="s">
        <v>25</v>
      </c>
      <c r="E463" s="10">
        <v>88.62</v>
      </c>
      <c r="F463" s="8">
        <v>5</v>
      </c>
      <c r="G463" s="8">
        <v>5</v>
      </c>
      <c r="H463" s="8" t="s">
        <v>21</v>
      </c>
      <c r="I463" s="8" t="s">
        <v>15</v>
      </c>
      <c r="J463" s="8">
        <v>4.4000000000000004</v>
      </c>
      <c r="K463" s="8">
        <v>33</v>
      </c>
      <c r="L463" s="10">
        <v>84.19</v>
      </c>
      <c r="M463" s="10">
        <v>420.95</v>
      </c>
      <c r="O463" s="14" t="str">
        <f t="shared" si="14"/>
        <v>Low</v>
      </c>
      <c r="P463" s="12" t="str">
        <f t="shared" si="15"/>
        <v>Good</v>
      </c>
    </row>
    <row r="464" spans="1:16" x14ac:dyDescent="0.35">
      <c r="A464" s="8">
        <v>463</v>
      </c>
      <c r="B464" s="9">
        <v>44647</v>
      </c>
      <c r="C464" s="8" t="s">
        <v>490</v>
      </c>
      <c r="D464" s="8" t="s">
        <v>19</v>
      </c>
      <c r="E464" s="10">
        <v>415.88</v>
      </c>
      <c r="F464" s="8">
        <v>20</v>
      </c>
      <c r="G464" s="8">
        <v>2</v>
      </c>
      <c r="H464" s="8" t="s">
        <v>20</v>
      </c>
      <c r="I464" s="8" t="s">
        <v>15</v>
      </c>
      <c r="J464" s="8">
        <v>1.8</v>
      </c>
      <c r="K464" s="8">
        <v>305</v>
      </c>
      <c r="L464" s="10">
        <v>332.7</v>
      </c>
      <c r="M464" s="10">
        <v>665.4</v>
      </c>
      <c r="O464" s="14" t="str">
        <f t="shared" si="14"/>
        <v>Low</v>
      </c>
      <c r="P464" s="12" t="str">
        <f t="shared" si="15"/>
        <v>Poor</v>
      </c>
    </row>
    <row r="465" spans="1:16" x14ac:dyDescent="0.35">
      <c r="A465" s="8">
        <v>464</v>
      </c>
      <c r="B465" s="9">
        <v>45258</v>
      </c>
      <c r="C465" s="8" t="s">
        <v>491</v>
      </c>
      <c r="D465" s="8" t="s">
        <v>19</v>
      </c>
      <c r="E465" s="10">
        <v>233.3</v>
      </c>
      <c r="F465" s="8">
        <v>5</v>
      </c>
      <c r="G465" s="8">
        <v>2</v>
      </c>
      <c r="H465" s="8" t="s">
        <v>14</v>
      </c>
      <c r="I465" s="8" t="s">
        <v>18</v>
      </c>
      <c r="J465" s="8">
        <v>1.2</v>
      </c>
      <c r="K465" s="8">
        <v>203</v>
      </c>
      <c r="L465" s="10">
        <v>221.64</v>
      </c>
      <c r="M465" s="10">
        <v>443.28</v>
      </c>
      <c r="O465" s="14" t="str">
        <f t="shared" si="14"/>
        <v>Low</v>
      </c>
      <c r="P465" s="12" t="str">
        <f t="shared" si="15"/>
        <v>Poor</v>
      </c>
    </row>
    <row r="466" spans="1:16" x14ac:dyDescent="0.35">
      <c r="A466" s="8">
        <v>465</v>
      </c>
      <c r="B466" s="9">
        <v>44846</v>
      </c>
      <c r="C466" s="8" t="s">
        <v>492</v>
      </c>
      <c r="D466" s="8" t="s">
        <v>13</v>
      </c>
      <c r="E466" s="10">
        <v>257.42</v>
      </c>
      <c r="F466" s="8">
        <v>10</v>
      </c>
      <c r="G466" s="8">
        <v>2</v>
      </c>
      <c r="H466" s="8" t="s">
        <v>17</v>
      </c>
      <c r="I466" s="8" t="s">
        <v>24</v>
      </c>
      <c r="J466" s="8">
        <v>4.5</v>
      </c>
      <c r="K466" s="8">
        <v>59</v>
      </c>
      <c r="L466" s="10">
        <v>231.68</v>
      </c>
      <c r="M466" s="10">
        <v>463.36</v>
      </c>
      <c r="O466" s="14" t="str">
        <f t="shared" si="14"/>
        <v>Low</v>
      </c>
      <c r="P466" s="12" t="str">
        <f t="shared" si="15"/>
        <v>Excellent</v>
      </c>
    </row>
    <row r="467" spans="1:16" x14ac:dyDescent="0.35">
      <c r="A467" s="8">
        <v>466</v>
      </c>
      <c r="B467" s="9">
        <v>44781</v>
      </c>
      <c r="C467" s="8" t="s">
        <v>493</v>
      </c>
      <c r="D467" s="8" t="s">
        <v>19</v>
      </c>
      <c r="E467" s="10">
        <v>484.48</v>
      </c>
      <c r="F467" s="8">
        <v>0</v>
      </c>
      <c r="G467" s="8">
        <v>4</v>
      </c>
      <c r="H467" s="8" t="s">
        <v>14</v>
      </c>
      <c r="I467" s="8" t="s">
        <v>18</v>
      </c>
      <c r="J467" s="8">
        <v>2.7</v>
      </c>
      <c r="K467" s="8">
        <v>362</v>
      </c>
      <c r="L467" s="10">
        <v>484.48</v>
      </c>
      <c r="M467" s="10">
        <v>1937.92</v>
      </c>
      <c r="O467" s="14" t="str">
        <f t="shared" si="14"/>
        <v>High</v>
      </c>
      <c r="P467" s="12" t="str">
        <f t="shared" si="15"/>
        <v>Poor</v>
      </c>
    </row>
    <row r="468" spans="1:16" x14ac:dyDescent="0.35">
      <c r="A468" s="8">
        <v>467</v>
      </c>
      <c r="B468" s="9">
        <v>44630</v>
      </c>
      <c r="C468" s="8" t="s">
        <v>494</v>
      </c>
      <c r="D468" s="8" t="s">
        <v>27</v>
      </c>
      <c r="E468" s="10">
        <v>443.64</v>
      </c>
      <c r="F468" s="8">
        <v>5</v>
      </c>
      <c r="G468" s="8">
        <v>5</v>
      </c>
      <c r="H468" s="8" t="s">
        <v>14</v>
      </c>
      <c r="I468" s="8" t="s">
        <v>23</v>
      </c>
      <c r="J468" s="8">
        <v>1.3</v>
      </c>
      <c r="K468" s="8">
        <v>166</v>
      </c>
      <c r="L468" s="10">
        <v>421.46</v>
      </c>
      <c r="M468" s="10">
        <v>2107.3000000000002</v>
      </c>
      <c r="O468" s="14" t="str">
        <f t="shared" si="14"/>
        <v>High</v>
      </c>
      <c r="P468" s="12" t="str">
        <f t="shared" si="15"/>
        <v>Poor</v>
      </c>
    </row>
    <row r="469" spans="1:16" x14ac:dyDescent="0.35">
      <c r="A469" s="8">
        <v>468</v>
      </c>
      <c r="B469" s="9">
        <v>44608</v>
      </c>
      <c r="C469" s="8" t="s">
        <v>495</v>
      </c>
      <c r="D469" s="8" t="s">
        <v>16</v>
      </c>
      <c r="E469" s="10">
        <v>177.15</v>
      </c>
      <c r="F469" s="8">
        <v>5</v>
      </c>
      <c r="G469" s="8">
        <v>4</v>
      </c>
      <c r="H469" s="8" t="s">
        <v>14</v>
      </c>
      <c r="I469" s="8" t="s">
        <v>15</v>
      </c>
      <c r="J469" s="8">
        <v>2.4</v>
      </c>
      <c r="K469" s="8">
        <v>150</v>
      </c>
      <c r="L469" s="10">
        <v>168.29</v>
      </c>
      <c r="M469" s="10">
        <v>673.16</v>
      </c>
      <c r="O469" s="14" t="str">
        <f t="shared" si="14"/>
        <v>Low</v>
      </c>
      <c r="P469" s="12" t="str">
        <f t="shared" si="15"/>
        <v>Poor</v>
      </c>
    </row>
    <row r="470" spans="1:16" x14ac:dyDescent="0.35">
      <c r="A470" s="8">
        <v>469</v>
      </c>
      <c r="B470" s="9">
        <v>44655</v>
      </c>
      <c r="C470" s="8" t="s">
        <v>496</v>
      </c>
      <c r="D470" s="8" t="s">
        <v>22</v>
      </c>
      <c r="E470" s="10">
        <v>474.96</v>
      </c>
      <c r="F470" s="8">
        <v>15</v>
      </c>
      <c r="G470" s="8">
        <v>1</v>
      </c>
      <c r="H470" s="8" t="s">
        <v>14</v>
      </c>
      <c r="I470" s="8" t="s">
        <v>18</v>
      </c>
      <c r="J470" s="8">
        <v>2.8</v>
      </c>
      <c r="K470" s="8">
        <v>322</v>
      </c>
      <c r="L470" s="10">
        <v>403.72</v>
      </c>
      <c r="M470" s="10">
        <v>403.72</v>
      </c>
      <c r="O470" s="14" t="str">
        <f t="shared" si="14"/>
        <v>Low</v>
      </c>
      <c r="P470" s="12" t="str">
        <f t="shared" si="15"/>
        <v>Poor</v>
      </c>
    </row>
    <row r="471" spans="1:16" x14ac:dyDescent="0.35">
      <c r="A471" s="8">
        <v>470</v>
      </c>
      <c r="B471" s="9">
        <v>45014</v>
      </c>
      <c r="C471" s="8" t="s">
        <v>497</v>
      </c>
      <c r="D471" s="8" t="s">
        <v>16</v>
      </c>
      <c r="E471" s="10">
        <v>56.05</v>
      </c>
      <c r="F471" s="8">
        <v>0</v>
      </c>
      <c r="G471" s="8">
        <v>2</v>
      </c>
      <c r="H471" s="8" t="s">
        <v>21</v>
      </c>
      <c r="I471" s="8" t="s">
        <v>26</v>
      </c>
      <c r="J471" s="8">
        <v>3.5</v>
      </c>
      <c r="K471" s="8">
        <v>207</v>
      </c>
      <c r="L471" s="10">
        <v>56.05</v>
      </c>
      <c r="M471" s="10">
        <v>112.1</v>
      </c>
      <c r="O471" s="14" t="str">
        <f t="shared" si="14"/>
        <v>Low</v>
      </c>
      <c r="P471" s="12" t="str">
        <f t="shared" si="15"/>
        <v>Good</v>
      </c>
    </row>
    <row r="472" spans="1:16" x14ac:dyDescent="0.35">
      <c r="A472" s="8">
        <v>471</v>
      </c>
      <c r="B472" s="9">
        <v>44765</v>
      </c>
      <c r="C472" s="8" t="s">
        <v>498</v>
      </c>
      <c r="D472" s="8" t="s">
        <v>22</v>
      </c>
      <c r="E472" s="10">
        <v>17.96</v>
      </c>
      <c r="F472" s="8">
        <v>0</v>
      </c>
      <c r="G472" s="8">
        <v>3</v>
      </c>
      <c r="H472" s="8" t="s">
        <v>20</v>
      </c>
      <c r="I472" s="8" t="s">
        <v>24</v>
      </c>
      <c r="J472" s="8">
        <v>1.7</v>
      </c>
      <c r="K472" s="8">
        <v>189</v>
      </c>
      <c r="L472" s="10">
        <v>17.96</v>
      </c>
      <c r="M472" s="10">
        <v>53.88</v>
      </c>
      <c r="O472" s="14" t="str">
        <f t="shared" si="14"/>
        <v>Low</v>
      </c>
      <c r="P472" s="12" t="str">
        <f t="shared" si="15"/>
        <v>Poor</v>
      </c>
    </row>
    <row r="473" spans="1:16" x14ac:dyDescent="0.35">
      <c r="A473" s="8">
        <v>472</v>
      </c>
      <c r="B473" s="9">
        <v>44779</v>
      </c>
      <c r="C473" s="8" t="s">
        <v>499</v>
      </c>
      <c r="D473" s="8" t="s">
        <v>22</v>
      </c>
      <c r="E473" s="10">
        <v>268.66000000000003</v>
      </c>
      <c r="F473" s="8">
        <v>5</v>
      </c>
      <c r="G473" s="8">
        <v>3</v>
      </c>
      <c r="H473" s="8" t="s">
        <v>14</v>
      </c>
      <c r="I473" s="8" t="s">
        <v>26</v>
      </c>
      <c r="J473" s="8">
        <v>3.8</v>
      </c>
      <c r="K473" s="8">
        <v>126</v>
      </c>
      <c r="L473" s="10">
        <v>255.23</v>
      </c>
      <c r="M473" s="10">
        <v>765.69</v>
      </c>
      <c r="O473" s="14" t="str">
        <f t="shared" si="14"/>
        <v>Low</v>
      </c>
      <c r="P473" s="12" t="str">
        <f t="shared" si="15"/>
        <v>Good</v>
      </c>
    </row>
    <row r="474" spans="1:16" x14ac:dyDescent="0.35">
      <c r="A474" s="8">
        <v>473</v>
      </c>
      <c r="B474" s="9">
        <v>45035</v>
      </c>
      <c r="C474" s="8" t="s">
        <v>500</v>
      </c>
      <c r="D474" s="8" t="s">
        <v>19</v>
      </c>
      <c r="E474" s="10">
        <v>386.1</v>
      </c>
      <c r="F474" s="8">
        <v>30</v>
      </c>
      <c r="G474" s="8">
        <v>2</v>
      </c>
      <c r="H474" s="8" t="s">
        <v>17</v>
      </c>
      <c r="I474" s="8" t="s">
        <v>23</v>
      </c>
      <c r="J474" s="8">
        <v>1.2</v>
      </c>
      <c r="K474" s="8">
        <v>119</v>
      </c>
      <c r="L474" s="10">
        <v>270.27</v>
      </c>
      <c r="M474" s="10">
        <v>540.54</v>
      </c>
      <c r="O474" s="14" t="str">
        <f t="shared" si="14"/>
        <v>Low</v>
      </c>
      <c r="P474" s="12" t="str">
        <f t="shared" si="15"/>
        <v>Poor</v>
      </c>
    </row>
    <row r="475" spans="1:16" x14ac:dyDescent="0.35">
      <c r="A475" s="8">
        <v>474</v>
      </c>
      <c r="B475" s="9">
        <v>44993</v>
      </c>
      <c r="C475" s="8" t="s">
        <v>501</v>
      </c>
      <c r="D475" s="8" t="s">
        <v>27</v>
      </c>
      <c r="E475" s="10">
        <v>114.37</v>
      </c>
      <c r="F475" s="8">
        <v>5</v>
      </c>
      <c r="G475" s="8">
        <v>4</v>
      </c>
      <c r="H475" s="8" t="s">
        <v>20</v>
      </c>
      <c r="I475" s="8" t="s">
        <v>26</v>
      </c>
      <c r="J475" s="8">
        <v>1.7</v>
      </c>
      <c r="K475" s="8">
        <v>25</v>
      </c>
      <c r="L475" s="10">
        <v>108.65</v>
      </c>
      <c r="M475" s="10">
        <v>434.6</v>
      </c>
      <c r="O475" s="14" t="str">
        <f t="shared" si="14"/>
        <v>Low</v>
      </c>
      <c r="P475" s="12" t="str">
        <f t="shared" si="15"/>
        <v>Poor</v>
      </c>
    </row>
    <row r="476" spans="1:16" x14ac:dyDescent="0.35">
      <c r="A476" s="8">
        <v>475</v>
      </c>
      <c r="B476" s="9">
        <v>44902</v>
      </c>
      <c r="C476" s="8" t="s">
        <v>502</v>
      </c>
      <c r="D476" s="8" t="s">
        <v>25</v>
      </c>
      <c r="E476" s="10">
        <v>44.75</v>
      </c>
      <c r="F476" s="8">
        <v>15</v>
      </c>
      <c r="G476" s="8">
        <v>3</v>
      </c>
      <c r="H476" s="8" t="s">
        <v>17</v>
      </c>
      <c r="I476" s="8" t="s">
        <v>24</v>
      </c>
      <c r="J476" s="8">
        <v>1.5</v>
      </c>
      <c r="K476" s="8">
        <v>492</v>
      </c>
      <c r="L476" s="10">
        <v>38.04</v>
      </c>
      <c r="M476" s="10">
        <v>114.12</v>
      </c>
      <c r="O476" s="14" t="str">
        <f t="shared" si="14"/>
        <v>Low</v>
      </c>
      <c r="P476" s="12" t="str">
        <f t="shared" si="15"/>
        <v>Poor</v>
      </c>
    </row>
    <row r="477" spans="1:16" x14ac:dyDescent="0.35">
      <c r="A477" s="8">
        <v>476</v>
      </c>
      <c r="B477" s="9">
        <v>45112</v>
      </c>
      <c r="C477" s="8" t="s">
        <v>503</v>
      </c>
      <c r="D477" s="8" t="s">
        <v>25</v>
      </c>
      <c r="E477" s="10">
        <v>423.53</v>
      </c>
      <c r="F477" s="8">
        <v>5</v>
      </c>
      <c r="G477" s="8">
        <v>4</v>
      </c>
      <c r="H477" s="8" t="s">
        <v>14</v>
      </c>
      <c r="I477" s="8" t="s">
        <v>18</v>
      </c>
      <c r="J477" s="8">
        <v>2.9</v>
      </c>
      <c r="K477" s="8">
        <v>50</v>
      </c>
      <c r="L477" s="10">
        <v>402.35</v>
      </c>
      <c r="M477" s="10">
        <v>1609.4</v>
      </c>
      <c r="O477" s="14" t="str">
        <f t="shared" si="14"/>
        <v>High</v>
      </c>
      <c r="P477" s="12" t="str">
        <f t="shared" si="15"/>
        <v>Poor</v>
      </c>
    </row>
    <row r="478" spans="1:16" x14ac:dyDescent="0.35">
      <c r="A478" s="8">
        <v>477</v>
      </c>
      <c r="B478" s="9">
        <v>45173</v>
      </c>
      <c r="C478" s="8" t="s">
        <v>504</v>
      </c>
      <c r="D478" s="8" t="s">
        <v>16</v>
      </c>
      <c r="E478" s="10">
        <v>493.23</v>
      </c>
      <c r="F478" s="8">
        <v>10</v>
      </c>
      <c r="G478" s="8">
        <v>5</v>
      </c>
      <c r="H478" s="8" t="s">
        <v>21</v>
      </c>
      <c r="I478" s="8" t="s">
        <v>15</v>
      </c>
      <c r="J478" s="8">
        <v>2.7</v>
      </c>
      <c r="K478" s="8">
        <v>319</v>
      </c>
      <c r="L478" s="10">
        <v>443.91</v>
      </c>
      <c r="M478" s="10">
        <v>2219.5500000000002</v>
      </c>
      <c r="O478" s="14" t="str">
        <f t="shared" si="14"/>
        <v>High</v>
      </c>
      <c r="P478" s="12" t="str">
        <f t="shared" si="15"/>
        <v>Poor</v>
      </c>
    </row>
    <row r="479" spans="1:16" x14ac:dyDescent="0.35">
      <c r="A479" s="8">
        <v>478</v>
      </c>
      <c r="B479" s="9">
        <v>44850</v>
      </c>
      <c r="C479" s="8" t="s">
        <v>505</v>
      </c>
      <c r="D479" s="8" t="s">
        <v>13</v>
      </c>
      <c r="E479" s="10">
        <v>348.69</v>
      </c>
      <c r="F479" s="8">
        <v>15</v>
      </c>
      <c r="G479" s="8">
        <v>1</v>
      </c>
      <c r="H479" s="8" t="s">
        <v>21</v>
      </c>
      <c r="I479" s="8" t="s">
        <v>26</v>
      </c>
      <c r="J479" s="8">
        <v>4.2</v>
      </c>
      <c r="K479" s="8">
        <v>82</v>
      </c>
      <c r="L479" s="10">
        <v>296.39</v>
      </c>
      <c r="M479" s="10">
        <v>296.39</v>
      </c>
      <c r="O479" s="14" t="str">
        <f t="shared" si="14"/>
        <v>Low</v>
      </c>
      <c r="P479" s="12" t="str">
        <f t="shared" si="15"/>
        <v>Good</v>
      </c>
    </row>
    <row r="480" spans="1:16" x14ac:dyDescent="0.35">
      <c r="A480" s="8">
        <v>479</v>
      </c>
      <c r="B480" s="9">
        <v>44815</v>
      </c>
      <c r="C480" s="8" t="s">
        <v>506</v>
      </c>
      <c r="D480" s="8" t="s">
        <v>25</v>
      </c>
      <c r="E480" s="10">
        <v>487.76</v>
      </c>
      <c r="F480" s="8">
        <v>30</v>
      </c>
      <c r="G480" s="8">
        <v>4</v>
      </c>
      <c r="H480" s="8" t="s">
        <v>17</v>
      </c>
      <c r="I480" s="8" t="s">
        <v>23</v>
      </c>
      <c r="J480" s="8">
        <v>2.4</v>
      </c>
      <c r="K480" s="8">
        <v>497</v>
      </c>
      <c r="L480" s="10">
        <v>341.43</v>
      </c>
      <c r="M480" s="10">
        <v>1365.72</v>
      </c>
      <c r="O480" s="14" t="str">
        <f t="shared" si="14"/>
        <v>High</v>
      </c>
      <c r="P480" s="12" t="str">
        <f t="shared" si="15"/>
        <v>Poor</v>
      </c>
    </row>
    <row r="481" spans="1:16" x14ac:dyDescent="0.35">
      <c r="A481" s="8">
        <v>480</v>
      </c>
      <c r="B481" s="9">
        <v>44918</v>
      </c>
      <c r="C481" s="8" t="s">
        <v>507</v>
      </c>
      <c r="D481" s="8" t="s">
        <v>25</v>
      </c>
      <c r="E481" s="10">
        <v>417.17</v>
      </c>
      <c r="F481" s="8">
        <v>15</v>
      </c>
      <c r="G481" s="8">
        <v>3</v>
      </c>
      <c r="H481" s="8" t="s">
        <v>17</v>
      </c>
      <c r="I481" s="8" t="s">
        <v>26</v>
      </c>
      <c r="J481" s="8">
        <v>4.3</v>
      </c>
      <c r="K481" s="8">
        <v>58</v>
      </c>
      <c r="L481" s="10">
        <v>354.59</v>
      </c>
      <c r="M481" s="10">
        <v>1063.77</v>
      </c>
      <c r="O481" s="14" t="str">
        <f>IF(M481 &gt; 1000, "High", "Low")</f>
        <v>High</v>
      </c>
      <c r="P481" s="12" t="str">
        <f>IF(J481 &gt;= 4.5, "Excellent", IF(J481 &gt;= 3, "Good", "Poor"))</f>
        <v>Good</v>
      </c>
    </row>
    <row r="482" spans="1:16" x14ac:dyDescent="0.35">
      <c r="A482" s="8">
        <v>481</v>
      </c>
      <c r="B482" s="9">
        <v>44584</v>
      </c>
      <c r="C482" s="8" t="s">
        <v>508</v>
      </c>
      <c r="D482" s="8" t="s">
        <v>19</v>
      </c>
      <c r="E482" s="10">
        <v>129.66999999999999</v>
      </c>
      <c r="F482" s="8">
        <v>5</v>
      </c>
      <c r="G482" s="8">
        <v>4</v>
      </c>
      <c r="H482" s="8" t="s">
        <v>21</v>
      </c>
      <c r="I482" s="8" t="s">
        <v>24</v>
      </c>
      <c r="J482" s="8">
        <v>4.5</v>
      </c>
      <c r="K482" s="8">
        <v>333</v>
      </c>
      <c r="L482" s="10">
        <v>123.19</v>
      </c>
      <c r="M482" s="10">
        <v>492.76</v>
      </c>
      <c r="O482" s="14" t="str">
        <f t="shared" si="14"/>
        <v>Low</v>
      </c>
      <c r="P482" s="12" t="str">
        <f t="shared" si="15"/>
        <v>Excellent</v>
      </c>
    </row>
    <row r="483" spans="1:16" x14ac:dyDescent="0.35">
      <c r="A483" s="8">
        <v>482</v>
      </c>
      <c r="B483" s="9">
        <v>45083</v>
      </c>
      <c r="C483" s="8" t="s">
        <v>509</v>
      </c>
      <c r="D483" s="8" t="s">
        <v>13</v>
      </c>
      <c r="E483" s="10">
        <v>59.34</v>
      </c>
      <c r="F483" s="8">
        <v>20</v>
      </c>
      <c r="G483" s="8">
        <v>4</v>
      </c>
      <c r="H483" s="8" t="s">
        <v>20</v>
      </c>
      <c r="I483" s="8" t="s">
        <v>15</v>
      </c>
      <c r="J483" s="8">
        <v>4.8</v>
      </c>
      <c r="K483" s="8">
        <v>311</v>
      </c>
      <c r="L483" s="10">
        <v>47.47</v>
      </c>
      <c r="M483" s="10">
        <v>189.88</v>
      </c>
      <c r="O483" s="14" t="str">
        <f t="shared" si="14"/>
        <v>Low</v>
      </c>
      <c r="P483" s="12" t="str">
        <f t="shared" si="15"/>
        <v>Excellent</v>
      </c>
    </row>
    <row r="484" spans="1:16" x14ac:dyDescent="0.35">
      <c r="A484" s="8">
        <v>483</v>
      </c>
      <c r="B484" s="9">
        <v>44661</v>
      </c>
      <c r="C484" s="8" t="s">
        <v>510</v>
      </c>
      <c r="D484" s="8" t="s">
        <v>25</v>
      </c>
      <c r="E484" s="10">
        <v>405.42</v>
      </c>
      <c r="F484" s="8">
        <v>5</v>
      </c>
      <c r="G484" s="8">
        <v>5</v>
      </c>
      <c r="H484" s="8" t="s">
        <v>21</v>
      </c>
      <c r="I484" s="8" t="s">
        <v>26</v>
      </c>
      <c r="J484" s="8">
        <v>5</v>
      </c>
      <c r="K484" s="8">
        <v>51</v>
      </c>
      <c r="L484" s="10">
        <v>385.15</v>
      </c>
      <c r="M484" s="10">
        <v>1925.75</v>
      </c>
      <c r="O484" s="14" t="str">
        <f t="shared" si="14"/>
        <v>High</v>
      </c>
      <c r="P484" s="12" t="str">
        <f t="shared" si="15"/>
        <v>Excellent</v>
      </c>
    </row>
    <row r="485" spans="1:16" x14ac:dyDescent="0.35">
      <c r="A485" s="8">
        <v>484</v>
      </c>
      <c r="B485" s="9">
        <v>44741</v>
      </c>
      <c r="C485" s="8" t="s">
        <v>511</v>
      </c>
      <c r="D485" s="8" t="s">
        <v>27</v>
      </c>
      <c r="E485" s="10">
        <v>331.5</v>
      </c>
      <c r="F485" s="8">
        <v>5</v>
      </c>
      <c r="G485" s="8">
        <v>5</v>
      </c>
      <c r="H485" s="8" t="s">
        <v>17</v>
      </c>
      <c r="I485" s="8" t="s">
        <v>15</v>
      </c>
      <c r="J485" s="8">
        <v>3.6</v>
      </c>
      <c r="K485" s="8">
        <v>300</v>
      </c>
      <c r="L485" s="10">
        <v>314.92</v>
      </c>
      <c r="M485" s="10">
        <v>1574.6</v>
      </c>
      <c r="O485" s="14" t="str">
        <f t="shared" si="14"/>
        <v>High</v>
      </c>
      <c r="P485" s="12" t="str">
        <f t="shared" si="15"/>
        <v>Good</v>
      </c>
    </row>
    <row r="486" spans="1:16" x14ac:dyDescent="0.35">
      <c r="A486" s="8">
        <v>485</v>
      </c>
      <c r="B486" s="9">
        <v>44784</v>
      </c>
      <c r="C486" s="8" t="s">
        <v>512</v>
      </c>
      <c r="D486" s="8" t="s">
        <v>27</v>
      </c>
      <c r="E486" s="10">
        <v>407.38</v>
      </c>
      <c r="F486" s="8">
        <v>5</v>
      </c>
      <c r="G486" s="8">
        <v>3</v>
      </c>
      <c r="H486" s="8" t="s">
        <v>21</v>
      </c>
      <c r="I486" s="8" t="s">
        <v>26</v>
      </c>
      <c r="J486" s="8">
        <v>4</v>
      </c>
      <c r="K486" s="8">
        <v>260</v>
      </c>
      <c r="L486" s="10">
        <v>387.01</v>
      </c>
      <c r="M486" s="10">
        <v>1161.03</v>
      </c>
      <c r="O486" s="14" t="str">
        <f>IF(M486 &gt; 1000, "High", "Low")</f>
        <v>High</v>
      </c>
      <c r="P486" s="13" t="str">
        <f t="shared" si="15"/>
        <v>Good</v>
      </c>
    </row>
    <row r="487" spans="1:16" x14ac:dyDescent="0.35">
      <c r="A487" s="8">
        <v>486</v>
      </c>
      <c r="B487" s="9">
        <v>45220</v>
      </c>
      <c r="C487" s="8" t="s">
        <v>513</v>
      </c>
      <c r="D487" s="8" t="s">
        <v>16</v>
      </c>
      <c r="E487" s="10">
        <v>360.59</v>
      </c>
      <c r="F487" s="8">
        <v>10</v>
      </c>
      <c r="G487" s="8">
        <v>3</v>
      </c>
      <c r="H487" s="8" t="s">
        <v>17</v>
      </c>
      <c r="I487" s="8" t="s">
        <v>18</v>
      </c>
      <c r="J487" s="8">
        <v>3.6</v>
      </c>
      <c r="K487" s="8">
        <v>340</v>
      </c>
      <c r="L487" s="10">
        <v>324.52999999999997</v>
      </c>
      <c r="M487" s="10">
        <v>973.59</v>
      </c>
      <c r="O487" s="14" t="str">
        <f t="shared" si="14"/>
        <v>Low</v>
      </c>
      <c r="P487" s="13" t="str">
        <f t="shared" si="15"/>
        <v>Good</v>
      </c>
    </row>
    <row r="488" spans="1:16" x14ac:dyDescent="0.35">
      <c r="A488" s="8">
        <v>487</v>
      </c>
      <c r="B488" s="9">
        <v>45003</v>
      </c>
      <c r="C488" s="8" t="s">
        <v>514</v>
      </c>
      <c r="D488" s="8" t="s">
        <v>19</v>
      </c>
      <c r="E488" s="10">
        <v>255.05</v>
      </c>
      <c r="F488" s="8">
        <v>20</v>
      </c>
      <c r="G488" s="8">
        <v>1</v>
      </c>
      <c r="H488" s="8" t="s">
        <v>20</v>
      </c>
      <c r="I488" s="8" t="s">
        <v>24</v>
      </c>
      <c r="J488" s="8">
        <v>2.8</v>
      </c>
      <c r="K488" s="8">
        <v>439</v>
      </c>
      <c r="L488" s="10">
        <v>204.04</v>
      </c>
      <c r="M488" s="10">
        <v>204.04</v>
      </c>
      <c r="O488" s="14" t="str">
        <f t="shared" si="14"/>
        <v>Low</v>
      </c>
      <c r="P488" s="13" t="str">
        <f t="shared" si="15"/>
        <v>Poor</v>
      </c>
    </row>
    <row r="489" spans="1:16" x14ac:dyDescent="0.35">
      <c r="A489" s="8">
        <v>488</v>
      </c>
      <c r="B489" s="9">
        <v>45169</v>
      </c>
      <c r="C489" s="8" t="s">
        <v>515</v>
      </c>
      <c r="D489" s="8" t="s">
        <v>16</v>
      </c>
      <c r="E489" s="10">
        <v>470.71</v>
      </c>
      <c r="F489" s="8">
        <v>20</v>
      </c>
      <c r="G489" s="8">
        <v>4</v>
      </c>
      <c r="H489" s="8" t="s">
        <v>14</v>
      </c>
      <c r="I489" s="8" t="s">
        <v>23</v>
      </c>
      <c r="J489" s="8">
        <v>1.4</v>
      </c>
      <c r="K489" s="8">
        <v>381</v>
      </c>
      <c r="L489" s="10">
        <v>376.57</v>
      </c>
      <c r="M489" s="10">
        <v>1506.28</v>
      </c>
      <c r="O489" s="14" t="str">
        <f t="shared" si="14"/>
        <v>High</v>
      </c>
      <c r="P489" s="13" t="str">
        <f t="shared" si="15"/>
        <v>Poor</v>
      </c>
    </row>
    <row r="490" spans="1:16" x14ac:dyDescent="0.35">
      <c r="A490" s="8">
        <v>489</v>
      </c>
      <c r="B490" s="9">
        <v>44886</v>
      </c>
      <c r="C490" s="8" t="s">
        <v>516</v>
      </c>
      <c r="D490" s="8" t="s">
        <v>16</v>
      </c>
      <c r="E490" s="10">
        <v>378.01</v>
      </c>
      <c r="F490" s="8">
        <v>15</v>
      </c>
      <c r="G490" s="8">
        <v>2</v>
      </c>
      <c r="H490" s="8" t="s">
        <v>14</v>
      </c>
      <c r="I490" s="8" t="s">
        <v>18</v>
      </c>
      <c r="J490" s="8">
        <v>3.2</v>
      </c>
      <c r="K490" s="8">
        <v>317</v>
      </c>
      <c r="L490" s="10">
        <v>321.31</v>
      </c>
      <c r="M490" s="10">
        <v>642.62</v>
      </c>
      <c r="O490" s="14" t="str">
        <f t="shared" si="14"/>
        <v>Low</v>
      </c>
      <c r="P490" s="13" t="str">
        <f t="shared" si="15"/>
        <v>Good</v>
      </c>
    </row>
    <row r="491" spans="1:16" x14ac:dyDescent="0.35">
      <c r="A491" s="8">
        <v>490</v>
      </c>
      <c r="B491" s="9">
        <v>45077</v>
      </c>
      <c r="C491" s="8" t="s">
        <v>517</v>
      </c>
      <c r="D491" s="8" t="s">
        <v>19</v>
      </c>
      <c r="E491" s="10">
        <v>9.2200000000000006</v>
      </c>
      <c r="F491" s="8">
        <v>10</v>
      </c>
      <c r="G491" s="8">
        <v>3</v>
      </c>
      <c r="H491" s="8" t="s">
        <v>21</v>
      </c>
      <c r="I491" s="8" t="s">
        <v>15</v>
      </c>
      <c r="J491" s="8">
        <v>1.8</v>
      </c>
      <c r="K491" s="8">
        <v>485</v>
      </c>
      <c r="L491" s="10">
        <v>8.3000000000000007</v>
      </c>
      <c r="M491" s="10">
        <v>24.9</v>
      </c>
      <c r="O491" s="14" t="str">
        <f t="shared" si="14"/>
        <v>Low</v>
      </c>
      <c r="P491" s="13" t="str">
        <f t="shared" si="15"/>
        <v>Poor</v>
      </c>
    </row>
    <row r="492" spans="1:16" x14ac:dyDescent="0.35">
      <c r="A492" s="8">
        <v>491</v>
      </c>
      <c r="B492" s="9">
        <v>44577</v>
      </c>
      <c r="C492" s="8" t="s">
        <v>518</v>
      </c>
      <c r="D492" s="8" t="s">
        <v>27</v>
      </c>
      <c r="E492" s="10">
        <v>353.61</v>
      </c>
      <c r="F492" s="8">
        <v>0</v>
      </c>
      <c r="G492" s="8">
        <v>3</v>
      </c>
      <c r="H492" s="8" t="s">
        <v>17</v>
      </c>
      <c r="I492" s="8" t="s">
        <v>15</v>
      </c>
      <c r="J492" s="8">
        <v>2.8</v>
      </c>
      <c r="K492" s="8">
        <v>121</v>
      </c>
      <c r="L492" s="10">
        <v>353.61</v>
      </c>
      <c r="M492" s="10">
        <v>1060.83</v>
      </c>
      <c r="O492" s="14" t="str">
        <f t="shared" si="14"/>
        <v>High</v>
      </c>
      <c r="P492" s="13" t="str">
        <f t="shared" si="15"/>
        <v>Poor</v>
      </c>
    </row>
    <row r="493" spans="1:16" x14ac:dyDescent="0.35">
      <c r="A493" s="8">
        <v>492</v>
      </c>
      <c r="B493" s="9">
        <v>44897</v>
      </c>
      <c r="C493" s="8" t="s">
        <v>519</v>
      </c>
      <c r="D493" s="8" t="s">
        <v>16</v>
      </c>
      <c r="E493" s="10">
        <v>274.35000000000002</v>
      </c>
      <c r="F493" s="8">
        <v>0</v>
      </c>
      <c r="G493" s="8">
        <v>5</v>
      </c>
      <c r="H493" s="8" t="s">
        <v>20</v>
      </c>
      <c r="I493" s="8" t="s">
        <v>18</v>
      </c>
      <c r="J493" s="8">
        <v>1.6</v>
      </c>
      <c r="K493" s="8">
        <v>401</v>
      </c>
      <c r="L493" s="10">
        <v>274.35000000000002</v>
      </c>
      <c r="M493" s="10">
        <v>1371.75</v>
      </c>
      <c r="O493" s="14" t="str">
        <f t="shared" si="14"/>
        <v>High</v>
      </c>
      <c r="P493" s="13" t="str">
        <f t="shared" si="15"/>
        <v>Poor</v>
      </c>
    </row>
    <row r="494" spans="1:16" x14ac:dyDescent="0.35">
      <c r="A494" s="8">
        <v>493</v>
      </c>
      <c r="B494" s="9">
        <v>44819</v>
      </c>
      <c r="C494" s="8" t="s">
        <v>520</v>
      </c>
      <c r="D494" s="8" t="s">
        <v>16</v>
      </c>
      <c r="E494" s="10">
        <v>73.459999999999994</v>
      </c>
      <c r="F494" s="8">
        <v>10</v>
      </c>
      <c r="G494" s="8">
        <v>4</v>
      </c>
      <c r="H494" s="8" t="s">
        <v>20</v>
      </c>
      <c r="I494" s="8" t="s">
        <v>15</v>
      </c>
      <c r="J494" s="8">
        <v>1.1000000000000001</v>
      </c>
      <c r="K494" s="8">
        <v>224</v>
      </c>
      <c r="L494" s="10">
        <v>66.11</v>
      </c>
      <c r="M494" s="10">
        <v>264.44</v>
      </c>
      <c r="O494" s="14" t="str">
        <f t="shared" si="14"/>
        <v>Low</v>
      </c>
      <c r="P494" s="13" t="str">
        <f t="shared" si="15"/>
        <v>Poor</v>
      </c>
    </row>
    <row r="495" spans="1:16" x14ac:dyDescent="0.35">
      <c r="A495" s="8">
        <v>494</v>
      </c>
      <c r="B495" s="9">
        <v>45058</v>
      </c>
      <c r="C495" s="8" t="s">
        <v>521</v>
      </c>
      <c r="D495" s="8" t="s">
        <v>27</v>
      </c>
      <c r="E495" s="10">
        <v>220.39</v>
      </c>
      <c r="F495" s="8">
        <v>5</v>
      </c>
      <c r="G495" s="8">
        <v>1</v>
      </c>
      <c r="H495" s="8" t="s">
        <v>21</v>
      </c>
      <c r="I495" s="8" t="s">
        <v>15</v>
      </c>
      <c r="J495" s="8">
        <v>3.9</v>
      </c>
      <c r="K495" s="8">
        <v>487</v>
      </c>
      <c r="L495" s="10">
        <v>209.37</v>
      </c>
      <c r="M495" s="10">
        <v>209.37</v>
      </c>
      <c r="O495" s="14" t="str">
        <f t="shared" si="14"/>
        <v>Low</v>
      </c>
      <c r="P495" s="13" t="str">
        <f t="shared" si="15"/>
        <v>Good</v>
      </c>
    </row>
    <row r="496" spans="1:16" x14ac:dyDescent="0.35">
      <c r="A496" s="8">
        <v>495</v>
      </c>
      <c r="B496" s="9">
        <v>44721</v>
      </c>
      <c r="C496" s="8" t="s">
        <v>522</v>
      </c>
      <c r="D496" s="8" t="s">
        <v>19</v>
      </c>
      <c r="E496" s="10">
        <v>264.45999999999998</v>
      </c>
      <c r="F496" s="8">
        <v>0</v>
      </c>
      <c r="G496" s="8">
        <v>2</v>
      </c>
      <c r="H496" s="8" t="s">
        <v>17</v>
      </c>
      <c r="I496" s="8" t="s">
        <v>15</v>
      </c>
      <c r="J496" s="8">
        <v>4.5</v>
      </c>
      <c r="K496" s="8">
        <v>336</v>
      </c>
      <c r="L496" s="10">
        <v>264.45999999999998</v>
      </c>
      <c r="M496" s="10">
        <v>528.91999999999996</v>
      </c>
      <c r="O496" s="14" t="str">
        <f t="shared" si="14"/>
        <v>Low</v>
      </c>
      <c r="P496" s="13" t="str">
        <f t="shared" si="15"/>
        <v>Excellent</v>
      </c>
    </row>
    <row r="497" spans="1:16" x14ac:dyDescent="0.35">
      <c r="A497" s="8">
        <v>496</v>
      </c>
      <c r="B497" s="9">
        <v>45036</v>
      </c>
      <c r="C497" s="8" t="s">
        <v>523</v>
      </c>
      <c r="D497" s="8" t="s">
        <v>13</v>
      </c>
      <c r="E497" s="10">
        <v>236.88</v>
      </c>
      <c r="F497" s="8">
        <v>5</v>
      </c>
      <c r="G497" s="8">
        <v>3</v>
      </c>
      <c r="H497" s="8" t="s">
        <v>20</v>
      </c>
      <c r="I497" s="8" t="s">
        <v>15</v>
      </c>
      <c r="J497" s="8">
        <v>3.7</v>
      </c>
      <c r="K497" s="8">
        <v>285</v>
      </c>
      <c r="L497" s="10">
        <v>225.04</v>
      </c>
      <c r="M497" s="10">
        <v>675.12</v>
      </c>
      <c r="O497" s="14" t="str">
        <f t="shared" si="14"/>
        <v>Low</v>
      </c>
      <c r="P497" s="13" t="str">
        <f t="shared" si="15"/>
        <v>Good</v>
      </c>
    </row>
    <row r="498" spans="1:16" x14ac:dyDescent="0.35">
      <c r="A498" s="8">
        <v>497</v>
      </c>
      <c r="B498" s="9">
        <v>45225</v>
      </c>
      <c r="C498" s="8" t="s">
        <v>524</v>
      </c>
      <c r="D498" s="8" t="s">
        <v>16</v>
      </c>
      <c r="E498" s="10">
        <v>220.02</v>
      </c>
      <c r="F498" s="8">
        <v>10</v>
      </c>
      <c r="G498" s="8">
        <v>5</v>
      </c>
      <c r="H498" s="8" t="s">
        <v>17</v>
      </c>
      <c r="I498" s="8" t="s">
        <v>15</v>
      </c>
      <c r="J498" s="8">
        <v>3.1</v>
      </c>
      <c r="K498" s="8">
        <v>312</v>
      </c>
      <c r="L498" s="10">
        <v>198.02</v>
      </c>
      <c r="M498" s="10">
        <v>990.1</v>
      </c>
      <c r="O498" s="14" t="str">
        <f t="shared" si="14"/>
        <v>Low</v>
      </c>
      <c r="P498" s="13" t="str">
        <f t="shared" si="15"/>
        <v>Good</v>
      </c>
    </row>
    <row r="499" spans="1:16" x14ac:dyDescent="0.35">
      <c r="A499" s="8">
        <v>498</v>
      </c>
      <c r="B499" s="9">
        <v>45251</v>
      </c>
      <c r="C499" s="8" t="s">
        <v>525</v>
      </c>
      <c r="D499" s="8" t="s">
        <v>25</v>
      </c>
      <c r="E499" s="10">
        <v>317.44</v>
      </c>
      <c r="F499" s="8">
        <v>5</v>
      </c>
      <c r="G499" s="8">
        <v>1</v>
      </c>
      <c r="H499" s="8" t="s">
        <v>20</v>
      </c>
      <c r="I499" s="8" t="s">
        <v>18</v>
      </c>
      <c r="J499" s="8">
        <v>4</v>
      </c>
      <c r="K499" s="8">
        <v>153</v>
      </c>
      <c r="L499" s="10">
        <v>301.57</v>
      </c>
      <c r="M499" s="10">
        <v>301.57</v>
      </c>
      <c r="O499" s="14" t="str">
        <f t="shared" si="14"/>
        <v>Low</v>
      </c>
      <c r="P499" s="13" t="str">
        <f t="shared" si="15"/>
        <v>Good</v>
      </c>
    </row>
    <row r="500" spans="1:16" x14ac:dyDescent="0.35">
      <c r="A500" s="8">
        <v>499</v>
      </c>
      <c r="B500" s="9">
        <v>45236</v>
      </c>
      <c r="C500" s="8" t="s">
        <v>526</v>
      </c>
      <c r="D500" s="8" t="s">
        <v>27</v>
      </c>
      <c r="E500" s="10">
        <v>331.01</v>
      </c>
      <c r="F500" s="8">
        <v>10</v>
      </c>
      <c r="G500" s="8">
        <v>1</v>
      </c>
      <c r="H500" s="8" t="s">
        <v>21</v>
      </c>
      <c r="I500" s="8" t="s">
        <v>26</v>
      </c>
      <c r="J500" s="8">
        <v>1.6</v>
      </c>
      <c r="K500" s="8">
        <v>191</v>
      </c>
      <c r="L500" s="10">
        <v>297.91000000000003</v>
      </c>
      <c r="M500" s="10">
        <v>297.91000000000003</v>
      </c>
      <c r="O500" s="14" t="str">
        <f t="shared" si="14"/>
        <v>Low</v>
      </c>
      <c r="P500" s="13" t="str">
        <f t="shared" si="15"/>
        <v>Poor</v>
      </c>
    </row>
    <row r="501" spans="1:16" x14ac:dyDescent="0.35">
      <c r="A501" s="8">
        <v>500</v>
      </c>
      <c r="B501" s="9">
        <v>44941</v>
      </c>
      <c r="C501" s="8" t="s">
        <v>527</v>
      </c>
      <c r="D501" s="8" t="s">
        <v>13</v>
      </c>
      <c r="E501" s="10">
        <v>350.28</v>
      </c>
      <c r="F501" s="8">
        <v>30</v>
      </c>
      <c r="G501" s="8">
        <v>4</v>
      </c>
      <c r="H501" s="8" t="s">
        <v>14</v>
      </c>
      <c r="I501" s="8" t="s">
        <v>26</v>
      </c>
      <c r="J501" s="8">
        <v>1.2</v>
      </c>
      <c r="K501" s="8">
        <v>51</v>
      </c>
      <c r="L501" s="10">
        <v>245.2</v>
      </c>
      <c r="M501" s="10">
        <v>980.8</v>
      </c>
      <c r="O501" s="14" t="str">
        <f t="shared" si="14"/>
        <v>Low</v>
      </c>
      <c r="P501" s="13" t="str">
        <f t="shared" si="15"/>
        <v>Poor</v>
      </c>
    </row>
  </sheetData>
  <pageMargins left="0.7" right="0.7" top="0.75" bottom="0.75" header="0.3" footer="0.3"/>
  <pageSetup paperSize="9" orientation="portrait" horizontalDpi="300" verticalDpi="0" r:id="rId1"/>
  <extLst>
    <ext xmlns:x14="http://schemas.microsoft.com/office/spreadsheetml/2009/9/main" uri="{78C0D931-6437-407d-A8EE-F0AAD7539E65}">
      <x14:conditionalFormattings>
        <x14:conditionalFormatting xmlns:xm="http://schemas.microsoft.com/office/excel/2006/main">
          <x14:cfRule type="iconSet" priority="1" id="{E3C1C7C7-472D-4DA6-B5AB-42C440FCCC36}">
            <x14:iconSet iconSet="3Triangles">
              <x14:cfvo type="percent">
                <xm:f>0</xm:f>
              </x14:cfvo>
              <x14:cfvo type="num">
                <xm:f>1000</xm:f>
              </x14:cfvo>
              <x14:cfvo type="num">
                <xm:f>1000</xm:f>
              </x14:cfvo>
            </x14:iconSet>
          </x14:cfRule>
          <xm:sqref>M2:M501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65" zoomScaleNormal="85" workbookViewId="0">
      <selection activeCell="U14" sqref="U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Descriptive Statistic</vt:lpstr>
      <vt:lpstr>Linear Regression</vt:lpstr>
      <vt:lpstr>Pivote Table</vt:lpstr>
      <vt:lpstr>Main Data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2026-02-23T08:43:07Z</dcterms:created>
  <dcterms:modified xsi:type="dcterms:W3CDTF">2026-02-23T20:48:18Z</dcterms:modified>
</cp:coreProperties>
</file>