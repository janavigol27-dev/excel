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defaultThemeVersion="164011"/>
  <mc:AlternateContent xmlns:mc="http://schemas.openxmlformats.org/markup-compatibility/2006">
    <mc:Choice Requires="x15">
      <x15ac:absPath xmlns:x15ac="http://schemas.microsoft.com/office/spreadsheetml/2010/11/ac" url="D:\Git_alldata\Excel\"/>
    </mc:Choice>
  </mc:AlternateContent>
  <bookViews>
    <workbookView xWindow="0" yWindow="0" windowWidth="19200" windowHeight="6900" activeTab="1"/>
  </bookViews>
  <sheets>
    <sheet name="Linear Regression" sheetId="3" r:id="rId1"/>
    <sheet name="Main Data" sheetId="1" r:id="rId2"/>
    <sheet name="Pivote table" sheetId="2" r:id="rId3"/>
    <sheet name="Dash board" sheetId="5" r:id="rId4"/>
  </sheets>
  <definedNames>
    <definedName name="NativeTimeline_Date">#N/A</definedName>
    <definedName name="Slicer_Product_Name">#N/A</definedName>
    <definedName name="Slicer_Region">#N/A</definedName>
  </definedNames>
  <calcPr calcId="162913"/>
  <pivotCaches>
    <pivotCache cacheId="6"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8"/>
      </x15:timelineCacheRefs>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Y2" i="1" l="1"/>
  <c r="X2" i="1"/>
  <c r="V2" i="1"/>
  <c r="Q26" i="1" a="1"/>
  <c r="Q26" i="1" s="1"/>
  <c r="Q22" i="1"/>
  <c r="R6" i="1"/>
  <c r="Q6" i="1"/>
  <c r="Q2" i="1"/>
  <c r="P2" i="1"/>
  <c r="O251" i="1"/>
  <c r="Y3" i="1" l="1"/>
  <c r="Y4" i="1"/>
  <c r="Y5" i="1"/>
  <c r="Y6" i="1"/>
  <c r="Y7" i="1"/>
  <c r="Y8" i="1"/>
  <c r="Y9" i="1"/>
  <c r="Y10" i="1"/>
  <c r="Y11" i="1"/>
  <c r="Y12" i="1"/>
  <c r="Y13" i="1"/>
  <c r="Y14" i="1"/>
  <c r="Y15" i="1"/>
  <c r="Y16" i="1"/>
  <c r="Y17" i="1"/>
  <c r="Y18" i="1"/>
  <c r="Y19" i="1"/>
  <c r="Y20" i="1"/>
  <c r="Y21" i="1"/>
  <c r="Y22" i="1"/>
  <c r="Y23" i="1"/>
  <c r="Y24" i="1"/>
  <c r="Y25" i="1"/>
  <c r="Y26" i="1"/>
  <c r="Y27" i="1"/>
  <c r="Y28" i="1"/>
  <c r="Y29" i="1"/>
  <c r="Y30" i="1"/>
  <c r="Y31" i="1"/>
  <c r="Y32" i="1"/>
  <c r="Y33" i="1"/>
  <c r="Y34" i="1"/>
  <c r="Y35" i="1"/>
  <c r="Y36" i="1"/>
  <c r="Y37" i="1"/>
  <c r="Y38" i="1"/>
  <c r="Y39" i="1"/>
  <c r="Y40" i="1"/>
  <c r="Y41" i="1"/>
  <c r="Y42" i="1"/>
  <c r="Y43" i="1"/>
  <c r="Y44" i="1"/>
  <c r="Y45" i="1"/>
  <c r="Y46" i="1"/>
  <c r="Y47" i="1"/>
  <c r="Y48" i="1"/>
  <c r="Y49" i="1"/>
  <c r="Y50" i="1"/>
  <c r="Y51" i="1"/>
  <c r="Y52" i="1"/>
  <c r="Y53" i="1"/>
  <c r="Y54" i="1"/>
  <c r="Y55" i="1"/>
  <c r="Y56" i="1"/>
  <c r="Y57" i="1"/>
  <c r="Y58" i="1"/>
  <c r="Y59" i="1"/>
  <c r="Y60" i="1"/>
  <c r="Y61" i="1"/>
  <c r="Y62" i="1"/>
  <c r="Y63" i="1"/>
  <c r="Y64" i="1"/>
  <c r="Y65" i="1"/>
  <c r="Y66" i="1"/>
  <c r="Y67" i="1"/>
  <c r="Y68" i="1"/>
  <c r="Y69" i="1"/>
  <c r="Y70" i="1"/>
  <c r="Y71" i="1"/>
  <c r="Y72" i="1"/>
  <c r="Y73" i="1"/>
  <c r="Y74" i="1"/>
  <c r="Y75" i="1"/>
  <c r="Y76" i="1"/>
  <c r="Y77" i="1"/>
  <c r="Y78" i="1"/>
  <c r="Y79" i="1"/>
  <c r="Y80" i="1"/>
  <c r="Y81" i="1"/>
  <c r="Y82" i="1"/>
  <c r="Y83" i="1"/>
  <c r="Y84" i="1"/>
  <c r="Y85" i="1"/>
  <c r="Y86" i="1"/>
  <c r="Y87" i="1"/>
  <c r="Y88" i="1"/>
  <c r="Y89" i="1"/>
  <c r="Y90" i="1"/>
  <c r="Y91" i="1"/>
  <c r="Y92" i="1"/>
  <c r="Y93" i="1"/>
  <c r="Y94" i="1"/>
  <c r="Y95" i="1"/>
  <c r="Y96" i="1"/>
  <c r="Y97" i="1"/>
  <c r="Y98" i="1"/>
  <c r="Y99" i="1"/>
  <c r="Y100" i="1"/>
  <c r="Y101" i="1"/>
  <c r="Y102" i="1"/>
  <c r="Y103" i="1"/>
  <c r="Y104" i="1"/>
  <c r="Y105" i="1"/>
  <c r="Y106" i="1"/>
  <c r="Y107" i="1"/>
  <c r="Y108" i="1"/>
  <c r="Y109" i="1"/>
  <c r="Y110" i="1"/>
  <c r="Y111" i="1"/>
  <c r="Y112" i="1"/>
  <c r="Y113" i="1"/>
  <c r="Y114" i="1"/>
  <c r="Y115" i="1"/>
  <c r="Y116" i="1"/>
  <c r="Y117" i="1"/>
  <c r="Y118" i="1"/>
  <c r="Y119" i="1"/>
  <c r="Y120" i="1"/>
  <c r="Y121" i="1"/>
  <c r="Y122" i="1"/>
  <c r="Y123" i="1"/>
  <c r="Y124" i="1"/>
  <c r="Y125" i="1"/>
  <c r="Y126" i="1"/>
  <c r="Y127" i="1"/>
  <c r="Y128" i="1"/>
  <c r="Y129" i="1"/>
  <c r="Y130" i="1"/>
  <c r="Y131" i="1"/>
  <c r="Y132" i="1"/>
  <c r="Y133" i="1"/>
  <c r="Y134" i="1"/>
  <c r="Y135" i="1"/>
  <c r="Y136" i="1"/>
  <c r="Y137" i="1"/>
  <c r="Y138" i="1"/>
  <c r="Y139" i="1"/>
  <c r="Y140" i="1"/>
  <c r="Y141" i="1"/>
  <c r="Y142" i="1"/>
  <c r="Y143" i="1"/>
  <c r="Y144" i="1"/>
  <c r="Y145" i="1"/>
  <c r="Y146" i="1"/>
  <c r="Y147" i="1"/>
  <c r="Y148" i="1"/>
  <c r="Y149" i="1"/>
  <c r="Y150" i="1"/>
  <c r="Y151" i="1"/>
  <c r="Y152" i="1"/>
  <c r="Y153" i="1"/>
  <c r="Y154" i="1"/>
  <c r="Y155" i="1"/>
  <c r="Y156" i="1"/>
  <c r="Y157" i="1"/>
  <c r="Y158" i="1"/>
  <c r="Y159" i="1"/>
  <c r="Y160" i="1"/>
  <c r="Y161" i="1"/>
  <c r="Y162" i="1"/>
  <c r="Y163" i="1"/>
  <c r="Y164" i="1"/>
  <c r="Y165" i="1"/>
  <c r="Y166" i="1"/>
  <c r="Y167" i="1"/>
  <c r="Y168" i="1"/>
  <c r="Y169" i="1"/>
  <c r="Y170" i="1"/>
  <c r="Y171" i="1"/>
  <c r="Y172" i="1"/>
  <c r="Y173" i="1"/>
  <c r="Y174" i="1"/>
  <c r="Y175" i="1"/>
  <c r="Y176" i="1"/>
  <c r="Y177" i="1"/>
  <c r="Y178" i="1"/>
  <c r="Y179" i="1"/>
  <c r="Y180" i="1"/>
  <c r="Y181" i="1"/>
  <c r="Y182" i="1"/>
  <c r="Y183" i="1"/>
  <c r="Y184" i="1"/>
  <c r="Y185" i="1"/>
  <c r="Y186" i="1"/>
  <c r="Y187" i="1"/>
  <c r="Y188" i="1"/>
  <c r="Y189" i="1"/>
  <c r="Y190" i="1"/>
  <c r="Y191" i="1"/>
  <c r="Y192" i="1"/>
  <c r="Y193" i="1"/>
  <c r="Y194" i="1"/>
  <c r="Y195" i="1"/>
  <c r="Y196" i="1"/>
  <c r="Y197" i="1"/>
  <c r="Y198" i="1"/>
  <c r="Y199" i="1"/>
  <c r="Y200" i="1"/>
  <c r="Y201" i="1"/>
  <c r="Y202" i="1"/>
  <c r="Y203" i="1"/>
  <c r="Y204" i="1"/>
  <c r="Y205" i="1"/>
  <c r="Y206" i="1"/>
  <c r="Y207" i="1"/>
  <c r="Y208" i="1"/>
  <c r="Y209" i="1"/>
  <c r="Y210" i="1"/>
  <c r="Y211" i="1"/>
  <c r="Y212" i="1"/>
  <c r="Y213" i="1"/>
  <c r="Y214" i="1"/>
  <c r="Y215" i="1"/>
  <c r="Y216" i="1"/>
  <c r="Y217" i="1"/>
  <c r="Y218" i="1"/>
  <c r="Y219" i="1"/>
  <c r="Y220" i="1"/>
  <c r="Y221" i="1"/>
  <c r="Y222" i="1"/>
  <c r="Y223" i="1"/>
  <c r="Y224" i="1"/>
  <c r="Y225" i="1"/>
  <c r="Y226" i="1"/>
  <c r="Y227" i="1"/>
  <c r="Y228" i="1"/>
  <c r="Y229" i="1"/>
  <c r="Y230" i="1"/>
  <c r="Y231" i="1"/>
  <c r="Y232" i="1"/>
  <c r="Y233" i="1"/>
  <c r="Y234" i="1"/>
  <c r="Y235" i="1"/>
  <c r="Y236" i="1"/>
  <c r="Y237" i="1"/>
  <c r="Y238" i="1"/>
  <c r="Y239" i="1"/>
  <c r="Y240" i="1"/>
  <c r="Y241" i="1"/>
  <c r="Y242" i="1"/>
  <c r="Y243" i="1"/>
  <c r="Y244" i="1"/>
  <c r="Y245" i="1"/>
  <c r="Y246" i="1"/>
  <c r="Y247" i="1"/>
  <c r="Y248" i="1"/>
  <c r="Y249" i="1"/>
  <c r="Y250" i="1"/>
  <c r="Y251" i="1"/>
  <c r="X13" i="1"/>
  <c r="X14" i="1"/>
  <c r="X15" i="1"/>
  <c r="X16" i="1"/>
  <c r="X17" i="1"/>
  <c r="X18" i="1"/>
  <c r="X19" i="1"/>
  <c r="X20" i="1"/>
  <c r="X21" i="1"/>
  <c r="X22" i="1"/>
  <c r="X23" i="1"/>
  <c r="X24" i="1"/>
  <c r="X25" i="1"/>
  <c r="X26" i="1"/>
  <c r="X27" i="1"/>
  <c r="X28" i="1"/>
  <c r="X29" i="1"/>
  <c r="X30" i="1"/>
  <c r="X31" i="1"/>
  <c r="X32" i="1"/>
  <c r="X33" i="1"/>
  <c r="X34" i="1"/>
  <c r="X35" i="1"/>
  <c r="X36" i="1"/>
  <c r="X37" i="1"/>
  <c r="X38" i="1"/>
  <c r="X39" i="1"/>
  <c r="X40" i="1"/>
  <c r="X41" i="1"/>
  <c r="X42" i="1"/>
  <c r="X43" i="1"/>
  <c r="X44" i="1"/>
  <c r="X45" i="1"/>
  <c r="X46" i="1"/>
  <c r="X47" i="1"/>
  <c r="X48" i="1"/>
  <c r="X49" i="1"/>
  <c r="X50" i="1"/>
  <c r="X51" i="1"/>
  <c r="X52" i="1"/>
  <c r="X53" i="1"/>
  <c r="X54" i="1"/>
  <c r="X55" i="1"/>
  <c r="X56" i="1"/>
  <c r="X57" i="1"/>
  <c r="X58" i="1"/>
  <c r="X59" i="1"/>
  <c r="X60" i="1"/>
  <c r="X61" i="1"/>
  <c r="X62" i="1"/>
  <c r="X63" i="1"/>
  <c r="X64" i="1"/>
  <c r="X65" i="1"/>
  <c r="X66" i="1"/>
  <c r="X67" i="1"/>
  <c r="X68" i="1"/>
  <c r="X69" i="1"/>
  <c r="X70" i="1"/>
  <c r="X71" i="1"/>
  <c r="X72" i="1"/>
  <c r="X73" i="1"/>
  <c r="X74" i="1"/>
  <c r="X75" i="1"/>
  <c r="X76" i="1"/>
  <c r="X77" i="1"/>
  <c r="X78" i="1"/>
  <c r="X79" i="1"/>
  <c r="X80" i="1"/>
  <c r="X81" i="1"/>
  <c r="X82" i="1"/>
  <c r="X83" i="1"/>
  <c r="X84" i="1"/>
  <c r="X85" i="1"/>
  <c r="X86" i="1"/>
  <c r="X87" i="1"/>
  <c r="X88" i="1"/>
  <c r="X89" i="1"/>
  <c r="X90" i="1"/>
  <c r="X91" i="1"/>
  <c r="X92" i="1"/>
  <c r="X93" i="1"/>
  <c r="X94" i="1"/>
  <c r="X95" i="1"/>
  <c r="X96" i="1"/>
  <c r="X97" i="1"/>
  <c r="X98" i="1"/>
  <c r="X99" i="1"/>
  <c r="X100" i="1"/>
  <c r="X101" i="1"/>
  <c r="X102" i="1"/>
  <c r="X103" i="1"/>
  <c r="X104" i="1"/>
  <c r="X105" i="1"/>
  <c r="X106" i="1"/>
  <c r="X107" i="1"/>
  <c r="X108" i="1"/>
  <c r="X109" i="1"/>
  <c r="X110" i="1"/>
  <c r="X111" i="1"/>
  <c r="X112" i="1"/>
  <c r="X113" i="1"/>
  <c r="X114" i="1"/>
  <c r="X115" i="1"/>
  <c r="X116" i="1"/>
  <c r="X117" i="1"/>
  <c r="X118" i="1"/>
  <c r="X119" i="1"/>
  <c r="X120" i="1"/>
  <c r="X121" i="1"/>
  <c r="X122" i="1"/>
  <c r="X123" i="1"/>
  <c r="X124" i="1"/>
  <c r="X125" i="1"/>
  <c r="X126" i="1"/>
  <c r="X127" i="1"/>
  <c r="X128" i="1"/>
  <c r="X129" i="1"/>
  <c r="X130" i="1"/>
  <c r="X131" i="1"/>
  <c r="X132" i="1"/>
  <c r="X133" i="1"/>
  <c r="X134" i="1"/>
  <c r="X135" i="1"/>
  <c r="X136" i="1"/>
  <c r="X137" i="1"/>
  <c r="X138" i="1"/>
  <c r="X139" i="1"/>
  <c r="X140" i="1"/>
  <c r="X141" i="1"/>
  <c r="X142" i="1"/>
  <c r="X143" i="1"/>
  <c r="X144" i="1"/>
  <c r="X145" i="1"/>
  <c r="X146" i="1"/>
  <c r="X147" i="1"/>
  <c r="X148" i="1"/>
  <c r="X149" i="1"/>
  <c r="X150" i="1"/>
  <c r="X151" i="1"/>
  <c r="X152" i="1"/>
  <c r="X153" i="1"/>
  <c r="X154" i="1"/>
  <c r="X155" i="1"/>
  <c r="X156" i="1"/>
  <c r="X157" i="1"/>
  <c r="X158" i="1"/>
  <c r="X159" i="1"/>
  <c r="X160" i="1"/>
  <c r="X161" i="1"/>
  <c r="X162" i="1"/>
  <c r="X163" i="1"/>
  <c r="X164" i="1"/>
  <c r="X165" i="1"/>
  <c r="X166" i="1"/>
  <c r="X167" i="1"/>
  <c r="X168" i="1"/>
  <c r="X169" i="1"/>
  <c r="X170" i="1"/>
  <c r="X171" i="1"/>
  <c r="X172" i="1"/>
  <c r="X173" i="1"/>
  <c r="X174" i="1"/>
  <c r="X175" i="1"/>
  <c r="X176" i="1"/>
  <c r="X177" i="1"/>
  <c r="X178" i="1"/>
  <c r="X179" i="1"/>
  <c r="X180" i="1"/>
  <c r="X181" i="1"/>
  <c r="X182" i="1"/>
  <c r="X183" i="1"/>
  <c r="X184" i="1"/>
  <c r="X185" i="1"/>
  <c r="X186" i="1"/>
  <c r="X187" i="1"/>
  <c r="X188" i="1"/>
  <c r="X189" i="1"/>
  <c r="X190" i="1"/>
  <c r="X191" i="1"/>
  <c r="X192" i="1"/>
  <c r="X193" i="1"/>
  <c r="X194" i="1"/>
  <c r="X195" i="1"/>
  <c r="X196" i="1"/>
  <c r="X197" i="1"/>
  <c r="X198" i="1"/>
  <c r="X199" i="1"/>
  <c r="X200" i="1"/>
  <c r="X201" i="1"/>
  <c r="X202" i="1"/>
  <c r="X203" i="1"/>
  <c r="X204" i="1"/>
  <c r="X205" i="1"/>
  <c r="X206" i="1"/>
  <c r="X207" i="1"/>
  <c r="X208" i="1"/>
  <c r="X209" i="1"/>
  <c r="X210" i="1"/>
  <c r="X211" i="1"/>
  <c r="X212" i="1"/>
  <c r="X213" i="1"/>
  <c r="X214" i="1"/>
  <c r="X215" i="1"/>
  <c r="X216" i="1"/>
  <c r="X217" i="1"/>
  <c r="X218" i="1"/>
  <c r="X219" i="1"/>
  <c r="X220" i="1"/>
  <c r="X221" i="1"/>
  <c r="X222" i="1"/>
  <c r="X223" i="1"/>
  <c r="X224" i="1"/>
  <c r="X225" i="1"/>
  <c r="X226" i="1"/>
  <c r="X227" i="1"/>
  <c r="X228" i="1"/>
  <c r="X229" i="1"/>
  <c r="X230" i="1"/>
  <c r="X231" i="1"/>
  <c r="X232" i="1"/>
  <c r="X233" i="1"/>
  <c r="X234" i="1"/>
  <c r="X235" i="1"/>
  <c r="X236" i="1"/>
  <c r="X237" i="1"/>
  <c r="X238" i="1"/>
  <c r="X239" i="1"/>
  <c r="X240" i="1"/>
  <c r="X241" i="1"/>
  <c r="X242" i="1"/>
  <c r="X243" i="1"/>
  <c r="X244" i="1"/>
  <c r="X245" i="1"/>
  <c r="X246" i="1"/>
  <c r="X247" i="1"/>
  <c r="X248" i="1"/>
  <c r="X249" i="1"/>
  <c r="X250" i="1"/>
  <c r="X251" i="1"/>
  <c r="X3" i="1"/>
  <c r="X4" i="1"/>
  <c r="X5" i="1"/>
  <c r="X6" i="1"/>
  <c r="X7" i="1"/>
  <c r="X8" i="1"/>
  <c r="X9" i="1"/>
  <c r="X10" i="1"/>
  <c r="X11" i="1"/>
  <c r="X12" i="1"/>
  <c r="V3" i="1"/>
  <c r="V4" i="1"/>
  <c r="V5" i="1"/>
  <c r="V6" i="1"/>
  <c r="V7" i="1"/>
  <c r="V8" i="1"/>
  <c r="V9" i="1"/>
  <c r="V10" i="1"/>
  <c r="V11" i="1"/>
  <c r="V12" i="1"/>
  <c r="V13" i="1"/>
  <c r="B43" i="2"/>
  <c r="B47" i="2"/>
  <c r="R18" i="1" l="1"/>
  <c r="R16" i="1"/>
  <c r="R12" i="1"/>
  <c r="R10" i="1"/>
  <c r="P3" i="1" l="1"/>
  <c r="P4" i="1"/>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P102" i="1"/>
  <c r="P103" i="1"/>
  <c r="P104" i="1"/>
  <c r="P105" i="1"/>
  <c r="P106" i="1"/>
  <c r="P107" i="1"/>
  <c r="P108" i="1"/>
  <c r="P109" i="1"/>
  <c r="P110" i="1"/>
  <c r="P111" i="1"/>
  <c r="P112" i="1"/>
  <c r="P113" i="1"/>
  <c r="P114" i="1"/>
  <c r="P115" i="1"/>
  <c r="P116" i="1"/>
  <c r="P117" i="1"/>
  <c r="P118" i="1"/>
  <c r="P119" i="1"/>
  <c r="P120" i="1"/>
  <c r="P121" i="1"/>
  <c r="P122" i="1"/>
  <c r="P123" i="1"/>
  <c r="P124" i="1"/>
  <c r="P125" i="1"/>
  <c r="P126" i="1"/>
  <c r="P127" i="1"/>
  <c r="P128" i="1"/>
  <c r="P129" i="1"/>
  <c r="P130" i="1"/>
  <c r="P131" i="1"/>
  <c r="P132" i="1"/>
  <c r="P133" i="1"/>
  <c r="P134" i="1"/>
  <c r="P135" i="1"/>
  <c r="P136" i="1"/>
  <c r="P137" i="1"/>
  <c r="P138" i="1"/>
  <c r="P139" i="1"/>
  <c r="P140" i="1"/>
  <c r="P141" i="1"/>
  <c r="P142" i="1"/>
  <c r="P143" i="1"/>
  <c r="P144" i="1"/>
  <c r="P145" i="1"/>
  <c r="P146" i="1"/>
  <c r="P147" i="1"/>
  <c r="P148" i="1"/>
  <c r="P149" i="1"/>
  <c r="P150" i="1"/>
  <c r="P151" i="1"/>
  <c r="P152" i="1"/>
  <c r="P153" i="1"/>
  <c r="P154" i="1"/>
  <c r="P155" i="1"/>
  <c r="P156" i="1"/>
  <c r="P157" i="1"/>
  <c r="P158" i="1"/>
  <c r="P159" i="1"/>
  <c r="P160" i="1"/>
  <c r="P161" i="1"/>
  <c r="P162" i="1"/>
  <c r="P163" i="1"/>
  <c r="P164" i="1"/>
  <c r="P165" i="1"/>
  <c r="P166" i="1"/>
  <c r="P167" i="1"/>
  <c r="P168" i="1"/>
  <c r="P169" i="1"/>
  <c r="P170" i="1"/>
  <c r="P171" i="1"/>
  <c r="P172" i="1"/>
  <c r="P173" i="1"/>
  <c r="P174" i="1"/>
  <c r="P175" i="1"/>
  <c r="P176" i="1"/>
  <c r="P177" i="1"/>
  <c r="P178" i="1"/>
  <c r="P179" i="1"/>
  <c r="P180" i="1"/>
  <c r="P181" i="1"/>
  <c r="P182" i="1"/>
  <c r="P183" i="1"/>
  <c r="P184" i="1"/>
  <c r="P185" i="1"/>
  <c r="P186" i="1"/>
  <c r="P187" i="1"/>
  <c r="P188" i="1"/>
  <c r="P189" i="1"/>
  <c r="P190" i="1"/>
  <c r="P191" i="1"/>
  <c r="P192" i="1"/>
  <c r="P193" i="1"/>
  <c r="P194" i="1"/>
  <c r="P195" i="1"/>
  <c r="P196" i="1"/>
  <c r="P197" i="1"/>
  <c r="P198" i="1"/>
  <c r="P199" i="1"/>
  <c r="P200" i="1"/>
  <c r="P201" i="1"/>
  <c r="P202" i="1"/>
  <c r="P203" i="1"/>
  <c r="P204" i="1"/>
  <c r="P205" i="1"/>
  <c r="P206" i="1"/>
  <c r="P207" i="1"/>
  <c r="P208" i="1"/>
  <c r="P209" i="1"/>
  <c r="P210" i="1"/>
  <c r="P211" i="1"/>
  <c r="P212" i="1"/>
  <c r="P213" i="1"/>
  <c r="P214" i="1"/>
  <c r="P215" i="1"/>
  <c r="P216" i="1"/>
  <c r="P217" i="1"/>
  <c r="P218" i="1"/>
  <c r="P219" i="1"/>
  <c r="P220" i="1"/>
  <c r="P221" i="1"/>
  <c r="P222" i="1"/>
  <c r="P223" i="1"/>
  <c r="P224" i="1"/>
  <c r="P225" i="1"/>
  <c r="P226" i="1"/>
  <c r="P227" i="1"/>
  <c r="P228" i="1"/>
  <c r="P229" i="1"/>
  <c r="P230" i="1"/>
  <c r="P231" i="1"/>
  <c r="P232" i="1"/>
  <c r="P233" i="1"/>
  <c r="P234" i="1"/>
  <c r="P235" i="1"/>
  <c r="P236" i="1"/>
  <c r="P237" i="1"/>
  <c r="P238" i="1"/>
  <c r="P239" i="1"/>
  <c r="P240" i="1"/>
  <c r="P241" i="1"/>
  <c r="P242" i="1"/>
  <c r="P243" i="1"/>
  <c r="P244" i="1"/>
  <c r="P245" i="1"/>
  <c r="P246" i="1"/>
  <c r="P247" i="1"/>
  <c r="P248" i="1"/>
  <c r="P249" i="1"/>
  <c r="P250" i="1"/>
  <c r="P251" i="1"/>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 i="1"/>
</calcChain>
</file>

<file path=xl/sharedStrings.xml><?xml version="1.0" encoding="utf-8"?>
<sst xmlns="http://schemas.openxmlformats.org/spreadsheetml/2006/main" count="2374" uniqueCount="899">
  <si>
    <t>Transaction_ID</t>
  </si>
  <si>
    <t>Date</t>
  </si>
  <si>
    <t>Customer_ID</t>
  </si>
  <si>
    <t>Customer_Name</t>
  </si>
  <si>
    <t>Product_ID</t>
  </si>
  <si>
    <t>Product_Name</t>
  </si>
  <si>
    <t>Category</t>
  </si>
  <si>
    <t>Quantity</t>
  </si>
  <si>
    <t>Unit_Price</t>
  </si>
  <si>
    <t>Payment_Method</t>
  </si>
  <si>
    <t>Region</t>
  </si>
  <si>
    <t>Customer_Segment</t>
  </si>
  <si>
    <t>Customer_Since</t>
  </si>
  <si>
    <t>Total_Amount</t>
  </si>
  <si>
    <t>Paul Baker</t>
  </si>
  <si>
    <t>P009</t>
  </si>
  <si>
    <t>Monitor</t>
  </si>
  <si>
    <t>Electronics</t>
  </si>
  <si>
    <t>Cash</t>
  </si>
  <si>
    <t>Central</t>
  </si>
  <si>
    <t>Basic</t>
  </si>
  <si>
    <t>Joseph Jackson</t>
  </si>
  <si>
    <t>Credit Card</t>
  </si>
  <si>
    <t>Premium</t>
  </si>
  <si>
    <t>Kevin Scott</t>
  </si>
  <si>
    <t>P005</t>
  </si>
  <si>
    <t>Blender</t>
  </si>
  <si>
    <t>Appliances</t>
  </si>
  <si>
    <t>PayPal</t>
  </si>
  <si>
    <t>South</t>
  </si>
  <si>
    <t>Standard</t>
  </si>
  <si>
    <t>Kathleen Bennett</t>
  </si>
  <si>
    <t>North</t>
  </si>
  <si>
    <t>Michael Brown</t>
  </si>
  <si>
    <t>P008</t>
  </si>
  <si>
    <t>Bookshelf</t>
  </si>
  <si>
    <t>Furniture</t>
  </si>
  <si>
    <t>Dorothy Nelson</t>
  </si>
  <si>
    <t>West</t>
  </si>
  <si>
    <t>P003</t>
  </si>
  <si>
    <t>Headphones</t>
  </si>
  <si>
    <t>Charles Allen</t>
  </si>
  <si>
    <t>Debit Card</t>
  </si>
  <si>
    <t>Robert Thomas</t>
  </si>
  <si>
    <t>P001</t>
  </si>
  <si>
    <t>Laptop</t>
  </si>
  <si>
    <t>East</t>
  </si>
  <si>
    <t>Karen Hill</t>
  </si>
  <si>
    <t>Susan Green</t>
  </si>
  <si>
    <t>Peter Richardson</t>
  </si>
  <si>
    <t>Dennis Gray</t>
  </si>
  <si>
    <t>Michelle Rogers</t>
  </si>
  <si>
    <t>P002</t>
  </si>
  <si>
    <t>Smartphone</t>
  </si>
  <si>
    <t>George Adams</t>
  </si>
  <si>
    <t>Mark Carter</t>
  </si>
  <si>
    <t>Maria Garcia</t>
  </si>
  <si>
    <t>Virginia Sanders</t>
  </si>
  <si>
    <t>Barbara Young</t>
  </si>
  <si>
    <t>Patricia Moore</t>
  </si>
  <si>
    <t>Cynthia Price</t>
  </si>
  <si>
    <t>P007</t>
  </si>
  <si>
    <t>Desk</t>
  </si>
  <si>
    <t>Nancy Collins</t>
  </si>
  <si>
    <t>Linda Martin</t>
  </si>
  <si>
    <t>P004</t>
  </si>
  <si>
    <t>Coffee Maker</t>
  </si>
  <si>
    <t>P010</t>
  </si>
  <si>
    <t>Keyboard</t>
  </si>
  <si>
    <t>Helen Roberts</t>
  </si>
  <si>
    <t>Edward Mitchell</t>
  </si>
  <si>
    <t>P006</t>
  </si>
  <si>
    <t>Office Chair</t>
  </si>
  <si>
    <t>Lisa Anderson</t>
  </si>
  <si>
    <t>Emma Wilson</t>
  </si>
  <si>
    <t>Steven Turner</t>
  </si>
  <si>
    <t>Jennifer Taylor</t>
  </si>
  <si>
    <t>Harry Morgan</t>
  </si>
  <si>
    <t>Daniel King</t>
  </si>
  <si>
    <t>Sharon Butler</t>
  </si>
  <si>
    <t>Sarah Davis</t>
  </si>
  <si>
    <t>Betty Campbell</t>
  </si>
  <si>
    <t>Julie Foster</t>
  </si>
  <si>
    <t>Raymond Ross</t>
  </si>
  <si>
    <t>David Martinez</t>
  </si>
  <si>
    <t>Margaret Wright</t>
  </si>
  <si>
    <t>Frank Torres</t>
  </si>
  <si>
    <t>Gerald Murphy</t>
  </si>
  <si>
    <t>Elizabeth Hall</t>
  </si>
  <si>
    <t>Lawrence Reed</t>
  </si>
  <si>
    <t>Carol Evans</t>
  </si>
  <si>
    <t>Sandra Phillips</t>
  </si>
  <si>
    <t>Ruth Brooks</t>
  </si>
  <si>
    <t>William White</t>
  </si>
  <si>
    <t>Richard Lee</t>
  </si>
  <si>
    <t>Douglas Watson</t>
  </si>
  <si>
    <t>James Johnson</t>
  </si>
  <si>
    <t>Arthur Edwards</t>
  </si>
  <si>
    <t>John Smith</t>
  </si>
  <si>
    <t>TRX01</t>
  </si>
  <si>
    <t>TRX02</t>
  </si>
  <si>
    <t>TRX03</t>
  </si>
  <si>
    <t>TRX04</t>
  </si>
  <si>
    <t>TRX05</t>
  </si>
  <si>
    <t>TRX06</t>
  </si>
  <si>
    <t>TRX07</t>
  </si>
  <si>
    <t>TRX08</t>
  </si>
  <si>
    <t>TRX09</t>
  </si>
  <si>
    <t>TRX10</t>
  </si>
  <si>
    <t>TRX11</t>
  </si>
  <si>
    <t>TRX12</t>
  </si>
  <si>
    <t>TRX13</t>
  </si>
  <si>
    <t>TRX14</t>
  </si>
  <si>
    <t>TRX15</t>
  </si>
  <si>
    <t>TRX16</t>
  </si>
  <si>
    <t>TRX17</t>
  </si>
  <si>
    <t>TRX18</t>
  </si>
  <si>
    <t>TRX19</t>
  </si>
  <si>
    <t>TRX20</t>
  </si>
  <si>
    <t>TRX21</t>
  </si>
  <si>
    <t>TRX22</t>
  </si>
  <si>
    <t>TRX23</t>
  </si>
  <si>
    <t>TRX24</t>
  </si>
  <si>
    <t>TRX25</t>
  </si>
  <si>
    <t>TRX26</t>
  </si>
  <si>
    <t>TRX27</t>
  </si>
  <si>
    <t>TRX28</t>
  </si>
  <si>
    <t>TRX29</t>
  </si>
  <si>
    <t>TRX30</t>
  </si>
  <si>
    <t>TRX31</t>
  </si>
  <si>
    <t>TRX32</t>
  </si>
  <si>
    <t>TRX33</t>
  </si>
  <si>
    <t>TRX34</t>
  </si>
  <si>
    <t>TRX35</t>
  </si>
  <si>
    <t>TRX36</t>
  </si>
  <si>
    <t>TRX37</t>
  </si>
  <si>
    <t>TRX38</t>
  </si>
  <si>
    <t>TRX39</t>
  </si>
  <si>
    <t>TRX40</t>
  </si>
  <si>
    <t>TRX41</t>
  </si>
  <si>
    <t>TRX42</t>
  </si>
  <si>
    <t>TRX43</t>
  </si>
  <si>
    <t>TRX44</t>
  </si>
  <si>
    <t>TRX45</t>
  </si>
  <si>
    <t>TRX46</t>
  </si>
  <si>
    <t>TRX47</t>
  </si>
  <si>
    <t>TRX48</t>
  </si>
  <si>
    <t>TRX49</t>
  </si>
  <si>
    <t>TRX50</t>
  </si>
  <si>
    <t>TRX51</t>
  </si>
  <si>
    <t>TRX52</t>
  </si>
  <si>
    <t>TRX53</t>
  </si>
  <si>
    <t>TRX54</t>
  </si>
  <si>
    <t>TRX55</t>
  </si>
  <si>
    <t>TRX56</t>
  </si>
  <si>
    <t>TRX57</t>
  </si>
  <si>
    <t>TRX58</t>
  </si>
  <si>
    <t>TRX59</t>
  </si>
  <si>
    <t>TRX60</t>
  </si>
  <si>
    <t>TRX61</t>
  </si>
  <si>
    <t>TRX62</t>
  </si>
  <si>
    <t>TRX63</t>
  </si>
  <si>
    <t>TRX64</t>
  </si>
  <si>
    <t>TRX65</t>
  </si>
  <si>
    <t>TRX66</t>
  </si>
  <si>
    <t>TRX67</t>
  </si>
  <si>
    <t>TRX68</t>
  </si>
  <si>
    <t>TRX69</t>
  </si>
  <si>
    <t>TRX70</t>
  </si>
  <si>
    <t>TRX71</t>
  </si>
  <si>
    <t>TRX72</t>
  </si>
  <si>
    <t>TRX73</t>
  </si>
  <si>
    <t>TRX74</t>
  </si>
  <si>
    <t>TRX75</t>
  </si>
  <si>
    <t>TRX76</t>
  </si>
  <si>
    <t>TRX77</t>
  </si>
  <si>
    <t>TRX78</t>
  </si>
  <si>
    <t>TRX79</t>
  </si>
  <si>
    <t>TRX80</t>
  </si>
  <si>
    <t>TRX81</t>
  </si>
  <si>
    <t>TRX82</t>
  </si>
  <si>
    <t>TRX83</t>
  </si>
  <si>
    <t>TRX84</t>
  </si>
  <si>
    <t>TRX85</t>
  </si>
  <si>
    <t>TRX86</t>
  </si>
  <si>
    <t>TRX87</t>
  </si>
  <si>
    <t>TRX88</t>
  </si>
  <si>
    <t>TRX89</t>
  </si>
  <si>
    <t>TRX90</t>
  </si>
  <si>
    <t>TRX91</t>
  </si>
  <si>
    <t>TRX92</t>
  </si>
  <si>
    <t>TRX93</t>
  </si>
  <si>
    <t>TRX94</t>
  </si>
  <si>
    <t>TRX95</t>
  </si>
  <si>
    <t>TRX96</t>
  </si>
  <si>
    <t>TRX97</t>
  </si>
  <si>
    <t>TRX98</t>
  </si>
  <si>
    <t>TRX99</t>
  </si>
  <si>
    <t>TRX100</t>
  </si>
  <si>
    <t>TRX101</t>
  </si>
  <si>
    <t>TRX102</t>
  </si>
  <si>
    <t>TRX103</t>
  </si>
  <si>
    <t>TRX104</t>
  </si>
  <si>
    <t>TRX105</t>
  </si>
  <si>
    <t>TRX106</t>
  </si>
  <si>
    <t>TRX107</t>
  </si>
  <si>
    <t>TRX108</t>
  </si>
  <si>
    <t>TRX109</t>
  </si>
  <si>
    <t>TRX110</t>
  </si>
  <si>
    <t>TRX111</t>
  </si>
  <si>
    <t>TRX112</t>
  </si>
  <si>
    <t>TRX113</t>
  </si>
  <si>
    <t>TRX114</t>
  </si>
  <si>
    <t>TRX115</t>
  </si>
  <si>
    <t>TRX116</t>
  </si>
  <si>
    <t>TRX117</t>
  </si>
  <si>
    <t>TRX118</t>
  </si>
  <si>
    <t>TRX119</t>
  </si>
  <si>
    <t>TRX120</t>
  </si>
  <si>
    <t>TRX121</t>
  </si>
  <si>
    <t>TRX122</t>
  </si>
  <si>
    <t>TRX123</t>
  </si>
  <si>
    <t>TRX124</t>
  </si>
  <si>
    <t>TRX125</t>
  </si>
  <si>
    <t>TRX126</t>
  </si>
  <si>
    <t>TRX127</t>
  </si>
  <si>
    <t>TRX128</t>
  </si>
  <si>
    <t>TRX129</t>
  </si>
  <si>
    <t>TRX130</t>
  </si>
  <si>
    <t>TRX131</t>
  </si>
  <si>
    <t>TRX132</t>
  </si>
  <si>
    <t>TRX133</t>
  </si>
  <si>
    <t>TRX134</t>
  </si>
  <si>
    <t>TRX135</t>
  </si>
  <si>
    <t>TRX136</t>
  </si>
  <si>
    <t>TRX137</t>
  </si>
  <si>
    <t>TRX138</t>
  </si>
  <si>
    <t>TRX139</t>
  </si>
  <si>
    <t>TRX140</t>
  </si>
  <si>
    <t>TRX141</t>
  </si>
  <si>
    <t>TRX142</t>
  </si>
  <si>
    <t>TRX143</t>
  </si>
  <si>
    <t>TRX144</t>
  </si>
  <si>
    <t>TRX145</t>
  </si>
  <si>
    <t>TRX146</t>
  </si>
  <si>
    <t>TRX147</t>
  </si>
  <si>
    <t>TRX148</t>
  </si>
  <si>
    <t>TRX149</t>
  </si>
  <si>
    <t>TRX150</t>
  </si>
  <si>
    <t>TRX151</t>
  </si>
  <si>
    <t>TRX152</t>
  </si>
  <si>
    <t>TRX153</t>
  </si>
  <si>
    <t>TRX154</t>
  </si>
  <si>
    <t>TRX155</t>
  </si>
  <si>
    <t>TRX156</t>
  </si>
  <si>
    <t>TRX157</t>
  </si>
  <si>
    <t>TRX158</t>
  </si>
  <si>
    <t>TRX159</t>
  </si>
  <si>
    <t>TRX160</t>
  </si>
  <si>
    <t>TRX161</t>
  </si>
  <si>
    <t>TRX162</t>
  </si>
  <si>
    <t>TRX163</t>
  </si>
  <si>
    <t>TRX164</t>
  </si>
  <si>
    <t>TRX165</t>
  </si>
  <si>
    <t>TRX166</t>
  </si>
  <si>
    <t>TRX167</t>
  </si>
  <si>
    <t>TRX168</t>
  </si>
  <si>
    <t>TRX169</t>
  </si>
  <si>
    <t>TRX170</t>
  </si>
  <si>
    <t>TRX171</t>
  </si>
  <si>
    <t>TRX172</t>
  </si>
  <si>
    <t>TRX173</t>
  </si>
  <si>
    <t>TRX174</t>
  </si>
  <si>
    <t>TRX175</t>
  </si>
  <si>
    <t>TRX176</t>
  </si>
  <si>
    <t>TRX177</t>
  </si>
  <si>
    <t>TRX178</t>
  </si>
  <si>
    <t>TRX179</t>
  </si>
  <si>
    <t>TRX180</t>
  </si>
  <si>
    <t>TRX181</t>
  </si>
  <si>
    <t>TRX182</t>
  </si>
  <si>
    <t>TRX183</t>
  </si>
  <si>
    <t>TRX184</t>
  </si>
  <si>
    <t>TRX185</t>
  </si>
  <si>
    <t>TRX186</t>
  </si>
  <si>
    <t>TRX187</t>
  </si>
  <si>
    <t>TRX188</t>
  </si>
  <si>
    <t>TRX189</t>
  </si>
  <si>
    <t>TRX190</t>
  </si>
  <si>
    <t>TRX191</t>
  </si>
  <si>
    <t>TRX192</t>
  </si>
  <si>
    <t>TRX193</t>
  </si>
  <si>
    <t>TRX194</t>
  </si>
  <si>
    <t>TRX195</t>
  </si>
  <si>
    <t>TRX196</t>
  </si>
  <si>
    <t>TRX197</t>
  </si>
  <si>
    <t>TRX198</t>
  </si>
  <si>
    <t>TRX199</t>
  </si>
  <si>
    <t>TRX200</t>
  </si>
  <si>
    <t>TRX201</t>
  </si>
  <si>
    <t>TRX202</t>
  </si>
  <si>
    <t>TRX203</t>
  </si>
  <si>
    <t>TRX204</t>
  </si>
  <si>
    <t>TRX205</t>
  </si>
  <si>
    <t>TRX206</t>
  </si>
  <si>
    <t>TRX207</t>
  </si>
  <si>
    <t>TRX208</t>
  </si>
  <si>
    <t>TRX209</t>
  </si>
  <si>
    <t>TRX210</t>
  </si>
  <si>
    <t>TRX211</t>
  </si>
  <si>
    <t>TRX212</t>
  </si>
  <si>
    <t>TRX213</t>
  </si>
  <si>
    <t>TRX214</t>
  </si>
  <si>
    <t>TRX215</t>
  </si>
  <si>
    <t>TRX216</t>
  </si>
  <si>
    <t>TRX217</t>
  </si>
  <si>
    <t>TRX218</t>
  </si>
  <si>
    <t>TRX219</t>
  </si>
  <si>
    <t>TRX220</t>
  </si>
  <si>
    <t>TRX221</t>
  </si>
  <si>
    <t>TRX222</t>
  </si>
  <si>
    <t>TRX223</t>
  </si>
  <si>
    <t>TRX224</t>
  </si>
  <si>
    <t>TRX225</t>
  </si>
  <si>
    <t>TRX226</t>
  </si>
  <si>
    <t>TRX227</t>
  </si>
  <si>
    <t>TRX228</t>
  </si>
  <si>
    <t>TRX229</t>
  </si>
  <si>
    <t>TRX230</t>
  </si>
  <si>
    <t>TRX231</t>
  </si>
  <si>
    <t>TRX232</t>
  </si>
  <si>
    <t>TRX233</t>
  </si>
  <si>
    <t>TRX234</t>
  </si>
  <si>
    <t>TRX235</t>
  </si>
  <si>
    <t>TRX236</t>
  </si>
  <si>
    <t>TRX237</t>
  </si>
  <si>
    <t>TRX238</t>
  </si>
  <si>
    <t>TRX239</t>
  </si>
  <si>
    <t>TRX240</t>
  </si>
  <si>
    <t>TRX241</t>
  </si>
  <si>
    <t>TRX242</t>
  </si>
  <si>
    <t>TRX243</t>
  </si>
  <si>
    <t>TRX244</t>
  </si>
  <si>
    <t>TRX245</t>
  </si>
  <si>
    <t>TRX246</t>
  </si>
  <si>
    <t>TRX247</t>
  </si>
  <si>
    <t>TRX248</t>
  </si>
  <si>
    <t>TRX249</t>
  </si>
  <si>
    <t>TRX250</t>
  </si>
  <si>
    <t>CUST01</t>
  </si>
  <si>
    <t>CUST02</t>
  </si>
  <si>
    <t>CUST03</t>
  </si>
  <si>
    <t>CUST04</t>
  </si>
  <si>
    <t>CUST05</t>
  </si>
  <si>
    <t>CUST06</t>
  </si>
  <si>
    <t>CUST07</t>
  </si>
  <si>
    <t>CUST08</t>
  </si>
  <si>
    <t>CUST09</t>
  </si>
  <si>
    <t>CUST10</t>
  </si>
  <si>
    <t>CUST11</t>
  </si>
  <si>
    <t>CUST12</t>
  </si>
  <si>
    <t>CUST13</t>
  </si>
  <si>
    <t>CUST14</t>
  </si>
  <si>
    <t>CUST15</t>
  </si>
  <si>
    <t>CUST16</t>
  </si>
  <si>
    <t>CUST17</t>
  </si>
  <si>
    <t>CUST18</t>
  </si>
  <si>
    <t>CUST19</t>
  </si>
  <si>
    <t>CUST20</t>
  </si>
  <si>
    <t>CUST21</t>
  </si>
  <si>
    <t>CUST22</t>
  </si>
  <si>
    <t>CUST23</t>
  </si>
  <si>
    <t>CUST24</t>
  </si>
  <si>
    <t>CUST25</t>
  </si>
  <si>
    <t>CUST26</t>
  </si>
  <si>
    <t>CUST27</t>
  </si>
  <si>
    <t>CUST28</t>
  </si>
  <si>
    <t>CUST29</t>
  </si>
  <si>
    <t>CUST30</t>
  </si>
  <si>
    <t>CUST31</t>
  </si>
  <si>
    <t>CUST32</t>
  </si>
  <si>
    <t>CUST33</t>
  </si>
  <si>
    <t>CUST34</t>
  </si>
  <si>
    <t>CUST35</t>
  </si>
  <si>
    <t>CUST36</t>
  </si>
  <si>
    <t>CUST37</t>
  </si>
  <si>
    <t>CUST38</t>
  </si>
  <si>
    <t>CUST39</t>
  </si>
  <si>
    <t>CUST40</t>
  </si>
  <si>
    <t>CUST41</t>
  </si>
  <si>
    <t>CUST42</t>
  </si>
  <si>
    <t>CUST43</t>
  </si>
  <si>
    <t>CUST44</t>
  </si>
  <si>
    <t>CUST45</t>
  </si>
  <si>
    <t>CUST46</t>
  </si>
  <si>
    <t>CUST47</t>
  </si>
  <si>
    <t>CUST48</t>
  </si>
  <si>
    <t>CUST49</t>
  </si>
  <si>
    <t>CUST50</t>
  </si>
  <si>
    <t>CUST51</t>
  </si>
  <si>
    <t>CUST52</t>
  </si>
  <si>
    <t>CUST53</t>
  </si>
  <si>
    <t>CUST54</t>
  </si>
  <si>
    <t>CUST55</t>
  </si>
  <si>
    <t>CUST56</t>
  </si>
  <si>
    <t>CUST57</t>
  </si>
  <si>
    <t>CUST58</t>
  </si>
  <si>
    <t>CUST59</t>
  </si>
  <si>
    <t>CUST60</t>
  </si>
  <si>
    <t>CUST61</t>
  </si>
  <si>
    <t>CUST62</t>
  </si>
  <si>
    <t>CUST63</t>
  </si>
  <si>
    <t>CUST64</t>
  </si>
  <si>
    <t>CUST65</t>
  </si>
  <si>
    <t>CUST66</t>
  </si>
  <si>
    <t>CUST67</t>
  </si>
  <si>
    <t>CUST68</t>
  </si>
  <si>
    <t>CUST69</t>
  </si>
  <si>
    <t>CUST70</t>
  </si>
  <si>
    <t>CUST71</t>
  </si>
  <si>
    <t>CUST72</t>
  </si>
  <si>
    <t>CUST73</t>
  </si>
  <si>
    <t>CUST74</t>
  </si>
  <si>
    <t>CUST75</t>
  </si>
  <si>
    <t>CUST76</t>
  </si>
  <si>
    <t>CUST77</t>
  </si>
  <si>
    <t>CUST78</t>
  </si>
  <si>
    <t>CUST79</t>
  </si>
  <si>
    <t>CUST80</t>
  </si>
  <si>
    <t>CUST81</t>
  </si>
  <si>
    <t>CUST82</t>
  </si>
  <si>
    <t>CUST83</t>
  </si>
  <si>
    <t>CUST84</t>
  </si>
  <si>
    <t>CUST85</t>
  </si>
  <si>
    <t>CUST86</t>
  </si>
  <si>
    <t>CUST87</t>
  </si>
  <si>
    <t>CUST88</t>
  </si>
  <si>
    <t>CUST89</t>
  </si>
  <si>
    <t>CUST90</t>
  </si>
  <si>
    <t>CUST91</t>
  </si>
  <si>
    <t>CUST92</t>
  </si>
  <si>
    <t>CUST93</t>
  </si>
  <si>
    <t>CUST94</t>
  </si>
  <si>
    <t>CUST95</t>
  </si>
  <si>
    <t>CUST96</t>
  </si>
  <si>
    <t>CUST97</t>
  </si>
  <si>
    <t>CUST98</t>
  </si>
  <si>
    <t>CUST99</t>
  </si>
  <si>
    <t>CUST100</t>
  </si>
  <si>
    <t>CUST101</t>
  </si>
  <si>
    <t>CUST102</t>
  </si>
  <si>
    <t>CUST103</t>
  </si>
  <si>
    <t>CUST104</t>
  </si>
  <si>
    <t>CUST105</t>
  </si>
  <si>
    <t>CUST106</t>
  </si>
  <si>
    <t>CUST107</t>
  </si>
  <si>
    <t>CUST108</t>
  </si>
  <si>
    <t>CUST109</t>
  </si>
  <si>
    <t>CUST110</t>
  </si>
  <si>
    <t>CUST111</t>
  </si>
  <si>
    <t>CUST112</t>
  </si>
  <si>
    <t>CUST113</t>
  </si>
  <si>
    <t>CUST114</t>
  </si>
  <si>
    <t>CUST115</t>
  </si>
  <si>
    <t>CUST116</t>
  </si>
  <si>
    <t>CUST117</t>
  </si>
  <si>
    <t>CUST118</t>
  </si>
  <si>
    <t>CUST119</t>
  </si>
  <si>
    <t>CUST120</t>
  </si>
  <si>
    <t>CUST121</t>
  </si>
  <si>
    <t>CUST122</t>
  </si>
  <si>
    <t>CUST123</t>
  </si>
  <si>
    <t>CUST124</t>
  </si>
  <si>
    <t>CUST125</t>
  </si>
  <si>
    <t>CUST126</t>
  </si>
  <si>
    <t>CUST127</t>
  </si>
  <si>
    <t>CUST128</t>
  </si>
  <si>
    <t>CUST129</t>
  </si>
  <si>
    <t>CUST130</t>
  </si>
  <si>
    <t>CUST131</t>
  </si>
  <si>
    <t>CUST132</t>
  </si>
  <si>
    <t>CUST133</t>
  </si>
  <si>
    <t>CUST134</t>
  </si>
  <si>
    <t>CUST135</t>
  </si>
  <si>
    <t>CUST136</t>
  </si>
  <si>
    <t>CUST137</t>
  </si>
  <si>
    <t>CUST138</t>
  </si>
  <si>
    <t>CUST139</t>
  </si>
  <si>
    <t>CUST140</t>
  </si>
  <si>
    <t>CUST141</t>
  </si>
  <si>
    <t>CUST142</t>
  </si>
  <si>
    <t>CUST143</t>
  </si>
  <si>
    <t>CUST144</t>
  </si>
  <si>
    <t>CUST145</t>
  </si>
  <si>
    <t>CUST146</t>
  </si>
  <si>
    <t>CUST147</t>
  </si>
  <si>
    <t>CUST148</t>
  </si>
  <si>
    <t>CUST149</t>
  </si>
  <si>
    <t>CUST150</t>
  </si>
  <si>
    <t>CUST151</t>
  </si>
  <si>
    <t>CUST152</t>
  </si>
  <si>
    <t>CUST153</t>
  </si>
  <si>
    <t>CUST154</t>
  </si>
  <si>
    <t>CUST155</t>
  </si>
  <si>
    <t>CUST156</t>
  </si>
  <si>
    <t>CUST157</t>
  </si>
  <si>
    <t>CUST158</t>
  </si>
  <si>
    <t>CUST159</t>
  </si>
  <si>
    <t>CUST160</t>
  </si>
  <si>
    <t>CUST161</t>
  </si>
  <si>
    <t>CUST162</t>
  </si>
  <si>
    <t>CUST163</t>
  </si>
  <si>
    <t>CUST164</t>
  </si>
  <si>
    <t>CUST165</t>
  </si>
  <si>
    <t>CUST166</t>
  </si>
  <si>
    <t>CUST167</t>
  </si>
  <si>
    <t>CUST168</t>
  </si>
  <si>
    <t>CUST169</t>
  </si>
  <si>
    <t>CUST170</t>
  </si>
  <si>
    <t>CUST171</t>
  </si>
  <si>
    <t>CUST172</t>
  </si>
  <si>
    <t>CUST173</t>
  </si>
  <si>
    <t>CUST174</t>
  </si>
  <si>
    <t>CUST175</t>
  </si>
  <si>
    <t>CUST176</t>
  </si>
  <si>
    <t>CUST177</t>
  </si>
  <si>
    <t>CUST178</t>
  </si>
  <si>
    <t>CUST179</t>
  </si>
  <si>
    <t>CUST180</t>
  </si>
  <si>
    <t>CUST181</t>
  </si>
  <si>
    <t>CUST182</t>
  </si>
  <si>
    <t>CUST183</t>
  </si>
  <si>
    <t>CUST184</t>
  </si>
  <si>
    <t>CUST185</t>
  </si>
  <si>
    <t>CUST186</t>
  </si>
  <si>
    <t>CUST187</t>
  </si>
  <si>
    <t>CUST188</t>
  </si>
  <si>
    <t>CUST189</t>
  </si>
  <si>
    <t>CUST190</t>
  </si>
  <si>
    <t>CUST191</t>
  </si>
  <si>
    <t>CUST192</t>
  </si>
  <si>
    <t>CUST193</t>
  </si>
  <si>
    <t>CUST194</t>
  </si>
  <si>
    <t>CUST195</t>
  </si>
  <si>
    <t>CUST196</t>
  </si>
  <si>
    <t>CUST197</t>
  </si>
  <si>
    <t>CUST198</t>
  </si>
  <si>
    <t>CUST199</t>
  </si>
  <si>
    <t>CUST200</t>
  </si>
  <si>
    <t>CUST201</t>
  </si>
  <si>
    <t>CUST202</t>
  </si>
  <si>
    <t>CUST203</t>
  </si>
  <si>
    <t>CUST204</t>
  </si>
  <si>
    <t>CUST205</t>
  </si>
  <si>
    <t>CUST206</t>
  </si>
  <si>
    <t>CUST207</t>
  </si>
  <si>
    <t>CUST208</t>
  </si>
  <si>
    <t>CUST209</t>
  </si>
  <si>
    <t>CUST210</t>
  </si>
  <si>
    <t>CUST211</t>
  </si>
  <si>
    <t>CUST212</t>
  </si>
  <si>
    <t>CUST213</t>
  </si>
  <si>
    <t>CUST214</t>
  </si>
  <si>
    <t>CUST215</t>
  </si>
  <si>
    <t>CUST216</t>
  </si>
  <si>
    <t>CUST217</t>
  </si>
  <si>
    <t>CUST218</t>
  </si>
  <si>
    <t>CUST219</t>
  </si>
  <si>
    <t>CUST220</t>
  </si>
  <si>
    <t>CUST221</t>
  </si>
  <si>
    <t>CUST222</t>
  </si>
  <si>
    <t>CUST223</t>
  </si>
  <si>
    <t>CUST224</t>
  </si>
  <si>
    <t>CUST225</t>
  </si>
  <si>
    <t>CUST226</t>
  </si>
  <si>
    <t>CUST227</t>
  </si>
  <si>
    <t>CUST228</t>
  </si>
  <si>
    <t>CUST229</t>
  </si>
  <si>
    <t>CUST230</t>
  </si>
  <si>
    <t>CUST231</t>
  </si>
  <si>
    <t>CUST232</t>
  </si>
  <si>
    <t>CUST233</t>
  </si>
  <si>
    <t>CUST234</t>
  </si>
  <si>
    <t>CUST235</t>
  </si>
  <si>
    <t>CUST236</t>
  </si>
  <si>
    <t>CUST237</t>
  </si>
  <si>
    <t>CUST238</t>
  </si>
  <si>
    <t>CUST239</t>
  </si>
  <si>
    <t>CUST240</t>
  </si>
  <si>
    <t>CUST241</t>
  </si>
  <si>
    <t>CUST242</t>
  </si>
  <si>
    <t>CUST243</t>
  </si>
  <si>
    <t>CUST244</t>
  </si>
  <si>
    <t>CUST245</t>
  </si>
  <si>
    <t>CUST246</t>
  </si>
  <si>
    <t>CUST247</t>
  </si>
  <si>
    <t>CUST248</t>
  </si>
  <si>
    <t>CUST249</t>
  </si>
  <si>
    <t>CUST250</t>
  </si>
  <si>
    <t>P011</t>
  </si>
  <si>
    <t>P012</t>
  </si>
  <si>
    <t>P013</t>
  </si>
  <si>
    <t>P014</t>
  </si>
  <si>
    <t>P015</t>
  </si>
  <si>
    <t>P016</t>
  </si>
  <si>
    <t>P017</t>
  </si>
  <si>
    <t>P018</t>
  </si>
  <si>
    <t>P019</t>
  </si>
  <si>
    <t>P020</t>
  </si>
  <si>
    <t>P021</t>
  </si>
  <si>
    <t>P022</t>
  </si>
  <si>
    <t>P023</t>
  </si>
  <si>
    <t>P024</t>
  </si>
  <si>
    <t>P025</t>
  </si>
  <si>
    <t>P026</t>
  </si>
  <si>
    <t>P027</t>
  </si>
  <si>
    <t>P028</t>
  </si>
  <si>
    <t>P029</t>
  </si>
  <si>
    <t>P030</t>
  </si>
  <si>
    <t>P031</t>
  </si>
  <si>
    <t>P032</t>
  </si>
  <si>
    <t>P033</t>
  </si>
  <si>
    <t>P034</t>
  </si>
  <si>
    <t>P035</t>
  </si>
  <si>
    <t>P036</t>
  </si>
  <si>
    <t>P037</t>
  </si>
  <si>
    <t>P038</t>
  </si>
  <si>
    <t>P039</t>
  </si>
  <si>
    <t>P040</t>
  </si>
  <si>
    <t>P041</t>
  </si>
  <si>
    <t>P042</t>
  </si>
  <si>
    <t>P043</t>
  </si>
  <si>
    <t>P044</t>
  </si>
  <si>
    <t>P045</t>
  </si>
  <si>
    <t>P046</t>
  </si>
  <si>
    <t>P047</t>
  </si>
  <si>
    <t>P048</t>
  </si>
  <si>
    <t>P049</t>
  </si>
  <si>
    <t>P050</t>
  </si>
  <si>
    <t>P051</t>
  </si>
  <si>
    <t>P052</t>
  </si>
  <si>
    <t>P053</t>
  </si>
  <si>
    <t>P054</t>
  </si>
  <si>
    <t>P055</t>
  </si>
  <si>
    <t>P056</t>
  </si>
  <si>
    <t>P057</t>
  </si>
  <si>
    <t>P058</t>
  </si>
  <si>
    <t>P059</t>
  </si>
  <si>
    <t>P060</t>
  </si>
  <si>
    <t>P061</t>
  </si>
  <si>
    <t>P062</t>
  </si>
  <si>
    <t>P063</t>
  </si>
  <si>
    <t>P064</t>
  </si>
  <si>
    <t>P065</t>
  </si>
  <si>
    <t>P066</t>
  </si>
  <si>
    <t>P067</t>
  </si>
  <si>
    <t>P068</t>
  </si>
  <si>
    <t>P069</t>
  </si>
  <si>
    <t>P070</t>
  </si>
  <si>
    <t>P071</t>
  </si>
  <si>
    <t>P072</t>
  </si>
  <si>
    <t>P073</t>
  </si>
  <si>
    <t>P074</t>
  </si>
  <si>
    <t>P075</t>
  </si>
  <si>
    <t>P076</t>
  </si>
  <si>
    <t>P077</t>
  </si>
  <si>
    <t>P078</t>
  </si>
  <si>
    <t>P079</t>
  </si>
  <si>
    <t>P080</t>
  </si>
  <si>
    <t>P081</t>
  </si>
  <si>
    <t>P082</t>
  </si>
  <si>
    <t>P083</t>
  </si>
  <si>
    <t>P084</t>
  </si>
  <si>
    <t>P085</t>
  </si>
  <si>
    <t>P086</t>
  </si>
  <si>
    <t>P087</t>
  </si>
  <si>
    <t>P088</t>
  </si>
  <si>
    <t>P089</t>
  </si>
  <si>
    <t>P090</t>
  </si>
  <si>
    <t>P091</t>
  </si>
  <si>
    <t>P092</t>
  </si>
  <si>
    <t>P093</t>
  </si>
  <si>
    <t>P094</t>
  </si>
  <si>
    <t>P095</t>
  </si>
  <si>
    <t>P096</t>
  </si>
  <si>
    <t>P097</t>
  </si>
  <si>
    <t>P098</t>
  </si>
  <si>
    <t>P099</t>
  </si>
  <si>
    <t>P100</t>
  </si>
  <si>
    <t>P101</t>
  </si>
  <si>
    <t>P102</t>
  </si>
  <si>
    <t>P103</t>
  </si>
  <si>
    <t>P104</t>
  </si>
  <si>
    <t>P105</t>
  </si>
  <si>
    <t>P106</t>
  </si>
  <si>
    <t>P107</t>
  </si>
  <si>
    <t>P108</t>
  </si>
  <si>
    <t>P109</t>
  </si>
  <si>
    <t>P110</t>
  </si>
  <si>
    <t>P111</t>
  </si>
  <si>
    <t>P112</t>
  </si>
  <si>
    <t>P113</t>
  </si>
  <si>
    <t>P114</t>
  </si>
  <si>
    <t>P115</t>
  </si>
  <si>
    <t>P116</t>
  </si>
  <si>
    <t>P117</t>
  </si>
  <si>
    <t>P118</t>
  </si>
  <si>
    <t>P119</t>
  </si>
  <si>
    <t>P120</t>
  </si>
  <si>
    <t>P121</t>
  </si>
  <si>
    <t>P122</t>
  </si>
  <si>
    <t>P123</t>
  </si>
  <si>
    <t>P124</t>
  </si>
  <si>
    <t>P125</t>
  </si>
  <si>
    <t>P126</t>
  </si>
  <si>
    <t>P127</t>
  </si>
  <si>
    <t>P128</t>
  </si>
  <si>
    <t>P129</t>
  </si>
  <si>
    <t>P130</t>
  </si>
  <si>
    <t>P131</t>
  </si>
  <si>
    <t>P132</t>
  </si>
  <si>
    <t>P133</t>
  </si>
  <si>
    <t>P134</t>
  </si>
  <si>
    <t>P135</t>
  </si>
  <si>
    <t>P136</t>
  </si>
  <si>
    <t>P137</t>
  </si>
  <si>
    <t>P138</t>
  </si>
  <si>
    <t>P139</t>
  </si>
  <si>
    <t>P140</t>
  </si>
  <si>
    <t>P141</t>
  </si>
  <si>
    <t>P142</t>
  </si>
  <si>
    <t>P143</t>
  </si>
  <si>
    <t>P144</t>
  </si>
  <si>
    <t>P145</t>
  </si>
  <si>
    <t>P146</t>
  </si>
  <si>
    <t>P147</t>
  </si>
  <si>
    <t>P148</t>
  </si>
  <si>
    <t>P149</t>
  </si>
  <si>
    <t>P150</t>
  </si>
  <si>
    <t>P151</t>
  </si>
  <si>
    <t>P152</t>
  </si>
  <si>
    <t>P153</t>
  </si>
  <si>
    <t>P154</t>
  </si>
  <si>
    <t>P155</t>
  </si>
  <si>
    <t>P156</t>
  </si>
  <si>
    <t>P157</t>
  </si>
  <si>
    <t>P158</t>
  </si>
  <si>
    <t>P159</t>
  </si>
  <si>
    <t>P160</t>
  </si>
  <si>
    <t>P161</t>
  </si>
  <si>
    <t>P162</t>
  </si>
  <si>
    <t>P163</t>
  </si>
  <si>
    <t>P164</t>
  </si>
  <si>
    <t>P165</t>
  </si>
  <si>
    <t>P166</t>
  </si>
  <si>
    <t>P167</t>
  </si>
  <si>
    <t>P168</t>
  </si>
  <si>
    <t>P169</t>
  </si>
  <si>
    <t>P170</t>
  </si>
  <si>
    <t>P171</t>
  </si>
  <si>
    <t>P172</t>
  </si>
  <si>
    <t>P173</t>
  </si>
  <si>
    <t>P174</t>
  </si>
  <si>
    <t>P175</t>
  </si>
  <si>
    <t>P176</t>
  </si>
  <si>
    <t>P177</t>
  </si>
  <si>
    <t>P178</t>
  </si>
  <si>
    <t>P179</t>
  </si>
  <si>
    <t>P180</t>
  </si>
  <si>
    <t>P181</t>
  </si>
  <si>
    <t>P182</t>
  </si>
  <si>
    <t>P183</t>
  </si>
  <si>
    <t>P184</t>
  </si>
  <si>
    <t>P185</t>
  </si>
  <si>
    <t>P186</t>
  </si>
  <si>
    <t>P187</t>
  </si>
  <si>
    <t>P188</t>
  </si>
  <si>
    <t>P189</t>
  </si>
  <si>
    <t>P190</t>
  </si>
  <si>
    <t>P191</t>
  </si>
  <si>
    <t>P192</t>
  </si>
  <si>
    <t>P193</t>
  </si>
  <si>
    <t>P194</t>
  </si>
  <si>
    <t>P195</t>
  </si>
  <si>
    <t>P196</t>
  </si>
  <si>
    <t>P197</t>
  </si>
  <si>
    <t>P198</t>
  </si>
  <si>
    <t>P199</t>
  </si>
  <si>
    <t>P200</t>
  </si>
  <si>
    <t>P201</t>
  </si>
  <si>
    <t>P202</t>
  </si>
  <si>
    <t>P203</t>
  </si>
  <si>
    <t>P204</t>
  </si>
  <si>
    <t>P205</t>
  </si>
  <si>
    <t>P206</t>
  </si>
  <si>
    <t>P207</t>
  </si>
  <si>
    <t>P208</t>
  </si>
  <si>
    <t>P209</t>
  </si>
  <si>
    <t>P210</t>
  </si>
  <si>
    <t>P211</t>
  </si>
  <si>
    <t>P212</t>
  </si>
  <si>
    <t>P213</t>
  </si>
  <si>
    <t>P214</t>
  </si>
  <si>
    <t>P215</t>
  </si>
  <si>
    <t>P216</t>
  </si>
  <si>
    <t>P217</t>
  </si>
  <si>
    <t>P218</t>
  </si>
  <si>
    <t>P219</t>
  </si>
  <si>
    <t>P220</t>
  </si>
  <si>
    <t>P221</t>
  </si>
  <si>
    <t>P222</t>
  </si>
  <si>
    <t>P223</t>
  </si>
  <si>
    <t>P224</t>
  </si>
  <si>
    <t>P225</t>
  </si>
  <si>
    <t>P226</t>
  </si>
  <si>
    <t>P227</t>
  </si>
  <si>
    <t>P228</t>
  </si>
  <si>
    <t>P229</t>
  </si>
  <si>
    <t>P230</t>
  </si>
  <si>
    <t>P231</t>
  </si>
  <si>
    <t>P232</t>
  </si>
  <si>
    <t>P233</t>
  </si>
  <si>
    <t>P234</t>
  </si>
  <si>
    <t>P235</t>
  </si>
  <si>
    <t>P236</t>
  </si>
  <si>
    <t>P237</t>
  </si>
  <si>
    <t>P238</t>
  </si>
  <si>
    <t>P239</t>
  </si>
  <si>
    <t>P240</t>
  </si>
  <si>
    <t>P241</t>
  </si>
  <si>
    <t>P242</t>
  </si>
  <si>
    <t>P243</t>
  </si>
  <si>
    <t>P244</t>
  </si>
  <si>
    <t>P245</t>
  </si>
  <si>
    <t>P246</t>
  </si>
  <si>
    <t>P247</t>
  </si>
  <si>
    <t>P248</t>
  </si>
  <si>
    <t>P249</t>
  </si>
  <si>
    <t>P250</t>
  </si>
  <si>
    <t>Date_Diff._in_year</t>
  </si>
  <si>
    <t>Timestamp</t>
  </si>
  <si>
    <t>EOMONTH'S_date</t>
  </si>
  <si>
    <t>Live_time</t>
  </si>
  <si>
    <t>LOYAL CUS.</t>
  </si>
  <si>
    <t>Total Revenue</t>
  </si>
  <si>
    <t>Average Order Value</t>
  </si>
  <si>
    <t>what if analysis</t>
  </si>
  <si>
    <t>Total profit</t>
  </si>
  <si>
    <t>Discount</t>
  </si>
  <si>
    <t>Final profit</t>
  </si>
  <si>
    <t>Goal seek</t>
  </si>
  <si>
    <t>profit</t>
  </si>
  <si>
    <t>SUMMARY OUTPUT</t>
  </si>
  <si>
    <t>Regression Statistics</t>
  </si>
  <si>
    <t>Multiple R</t>
  </si>
  <si>
    <t>R Square</t>
  </si>
  <si>
    <t>Adjusted R Square</t>
  </si>
  <si>
    <t>Standard Error</t>
  </si>
  <si>
    <t>Observations</t>
  </si>
  <si>
    <t>ANOVA</t>
  </si>
  <si>
    <t>Regression</t>
  </si>
  <si>
    <t>Residual</t>
  </si>
  <si>
    <t>Total</t>
  </si>
  <si>
    <t>Intercept</t>
  </si>
  <si>
    <t>df</t>
  </si>
  <si>
    <t>SS</t>
  </si>
  <si>
    <t>MS</t>
  </si>
  <si>
    <t>F</t>
  </si>
  <si>
    <t>Significance F</t>
  </si>
  <si>
    <t>Coefficients</t>
  </si>
  <si>
    <t>t Stat</t>
  </si>
  <si>
    <t>P-value</t>
  </si>
  <si>
    <t>Lower 95%</t>
  </si>
  <si>
    <t>Upper 95%</t>
  </si>
  <si>
    <t>Lower 95.0%</t>
  </si>
  <si>
    <t>Upper 95.0%</t>
  </si>
  <si>
    <t>High Value customer</t>
  </si>
  <si>
    <t>Most Purchased Pro.</t>
  </si>
  <si>
    <t xml:space="preserve">List -1 </t>
  </si>
  <si>
    <t>Match name</t>
  </si>
  <si>
    <t>Short_Category</t>
  </si>
  <si>
    <t>Short_Segment</t>
  </si>
  <si>
    <t>Row Labels</t>
  </si>
  <si>
    <t>Grand Total</t>
  </si>
  <si>
    <t>Apr</t>
  </si>
  <si>
    <t>May</t>
  </si>
  <si>
    <t>Jun</t>
  </si>
  <si>
    <t>Jul</t>
  </si>
  <si>
    <t>Aug</t>
  </si>
  <si>
    <t>Sep</t>
  </si>
  <si>
    <t>Oct</t>
  </si>
  <si>
    <t>Nov</t>
  </si>
  <si>
    <t>Dec</t>
  </si>
  <si>
    <t>Jan</t>
  </si>
  <si>
    <t>Feb</t>
  </si>
  <si>
    <t>Mar</t>
  </si>
  <si>
    <t>Sum of Total_Amount</t>
  </si>
  <si>
    <t>Count of Total_Amount</t>
  </si>
  <si>
    <t>List - 2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</si>
</sst>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F400]h:mm:ss\ AM/PM"/>
  </numFmts>
  <fonts count="4">
    <font>
      <sz val="11"/>
      <color theme="1"/>
      <name val="Calibri"/>
      <family val="2"/>
      <scheme val="minor"/>
    </font>
    <font>
      <b/>
      <sz val="11"/>
      <color theme="1"/>
      <name val="Calibri"/>
      <family val="2"/>
      <scheme val="minor"/>
    </font>
    <font>
      <i/>
      <sz val="11"/>
      <color theme="1"/>
      <name val="Calibri"/>
      <family val="2"/>
      <scheme val="minor"/>
    </font>
    <font>
      <sz val="10"/>
      <color theme="1"/>
      <name val="Arial Unicode MS"/>
    </font>
  </fonts>
  <fills count="9">
    <fill>
      <patternFill patternType="none"/>
    </fill>
    <fill>
      <patternFill patternType="gray125"/>
    </fill>
    <fill>
      <patternFill patternType="solid">
        <fgColor theme="9" tint="0.39997558519241921"/>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4" tint="0.39997558519241921"/>
        <bgColor indexed="64"/>
      </patternFill>
    </fill>
    <fill>
      <patternFill patternType="solid">
        <fgColor theme="5" tint="0.39997558519241921"/>
        <bgColor indexed="64"/>
      </patternFill>
    </fill>
    <fill>
      <patternFill patternType="solid">
        <fgColor theme="7" tint="0.39997558519241921"/>
        <bgColor indexed="64"/>
      </patternFill>
    </fill>
    <fill>
      <patternFill patternType="solid">
        <fgColor theme="7" tint="0.79998168889431442"/>
        <bgColor indexed="64"/>
      </patternFill>
    </fill>
  </fills>
  <borders count="8">
    <border>
      <left/>
      <right/>
      <top/>
      <bottom/>
      <diagonal/>
    </border>
    <border>
      <left style="medium">
        <color rgb="FFCCCCCC"/>
      </left>
      <right style="medium">
        <color rgb="FFCCCCCC"/>
      </right>
      <top style="medium">
        <color rgb="FFCCCCCC"/>
      </top>
      <bottom style="medium">
        <color rgb="FFCCCCCC"/>
      </bottom>
      <diagonal/>
    </border>
    <border>
      <left style="medium">
        <color rgb="FFCCCCCC"/>
      </left>
      <right style="medium">
        <color rgb="FFCCCCCC"/>
      </right>
      <top/>
      <bottom/>
      <diagonal/>
    </border>
    <border>
      <left style="thin">
        <color indexed="64"/>
      </left>
      <right style="thin">
        <color indexed="64"/>
      </right>
      <top style="thin">
        <color indexed="64"/>
      </top>
      <bottom style="thin">
        <color indexed="64"/>
      </bottom>
      <diagonal/>
    </border>
    <border>
      <left style="medium">
        <color rgb="FFCCCCCC"/>
      </left>
      <right/>
      <top/>
      <bottom/>
      <diagonal/>
    </border>
    <border>
      <left style="medium">
        <color rgb="FFCCCCCC"/>
      </left>
      <right/>
      <top style="medium">
        <color rgb="FFCCCCCC"/>
      </top>
      <bottom style="medium">
        <color rgb="FFCCCCCC"/>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1">
    <xf numFmtId="0" fontId="0" fillId="0" borderId="0"/>
  </cellStyleXfs>
  <cellXfs count="44">
    <xf numFmtId="0" fontId="0" fillId="0" borderId="0" xfId="0"/>
    <xf numFmtId="0" fontId="1" fillId="2" borderId="3" xfId="0" applyFont="1" applyFill="1" applyBorder="1" applyAlignment="1">
      <alignment horizontal="center" vertical="center"/>
    </xf>
    <xf numFmtId="0" fontId="1" fillId="0" borderId="0" xfId="0" applyFont="1" applyFill="1" applyBorder="1" applyAlignment="1">
      <alignment vertical="center"/>
    </xf>
    <xf numFmtId="0" fontId="0" fillId="0" borderId="0" xfId="0" applyAlignment="1">
      <alignment horizontal="center" vertical="center"/>
    </xf>
    <xf numFmtId="0" fontId="0" fillId="0" borderId="3" xfId="0" pivotButton="1" applyBorder="1"/>
    <xf numFmtId="0" fontId="0" fillId="0" borderId="3" xfId="0" applyBorder="1"/>
    <xf numFmtId="14" fontId="0" fillId="0" borderId="3" xfId="0" applyNumberFormat="1" applyBorder="1" applyAlignment="1">
      <alignment horizontal="left"/>
    </xf>
    <xf numFmtId="0" fontId="0" fillId="0" borderId="3" xfId="0" applyNumberFormat="1" applyBorder="1"/>
    <xf numFmtId="0" fontId="0" fillId="0" borderId="3" xfId="0" applyBorder="1" applyAlignment="1">
      <alignment horizontal="left"/>
    </xf>
    <xf numFmtId="10" fontId="0" fillId="0" borderId="3" xfId="0" applyNumberFormat="1" applyBorder="1"/>
    <xf numFmtId="3" fontId="0" fillId="0" borderId="0" xfId="0" applyNumberFormat="1"/>
    <xf numFmtId="0" fontId="1" fillId="5" borderId="1" xfId="0" applyFont="1" applyFill="1" applyBorder="1" applyAlignment="1">
      <alignment wrapText="1"/>
    </xf>
    <xf numFmtId="0" fontId="0" fillId="3" borderId="1" xfId="0" applyFill="1" applyBorder="1" applyAlignment="1">
      <alignment wrapText="1"/>
    </xf>
    <xf numFmtId="14" fontId="0" fillId="3" borderId="1" xfId="0" applyNumberFormat="1" applyFill="1" applyBorder="1" applyAlignment="1">
      <alignment horizontal="right" wrapText="1"/>
    </xf>
    <xf numFmtId="0" fontId="0" fillId="3" borderId="1" xfId="0" applyFill="1" applyBorder="1" applyAlignment="1">
      <alignment horizontal="right" wrapText="1"/>
    </xf>
    <xf numFmtId="0" fontId="1" fillId="6" borderId="2" xfId="0" applyFont="1" applyFill="1" applyBorder="1" applyAlignment="1">
      <alignment wrapText="1"/>
    </xf>
    <xf numFmtId="0" fontId="1" fillId="6" borderId="4" xfId="0" applyFont="1" applyFill="1" applyBorder="1" applyAlignment="1">
      <alignment wrapText="1"/>
    </xf>
    <xf numFmtId="0" fontId="0" fillId="3" borderId="5" xfId="0" applyFill="1" applyBorder="1" applyAlignment="1">
      <alignment horizontal="right" wrapText="1"/>
    </xf>
    <xf numFmtId="0" fontId="0" fillId="4" borderId="3" xfId="0" applyFill="1" applyBorder="1"/>
    <xf numFmtId="14" fontId="0" fillId="4" borderId="3" xfId="0" applyNumberFormat="1" applyFill="1" applyBorder="1"/>
    <xf numFmtId="0" fontId="1" fillId="6" borderId="3" xfId="0" applyFont="1" applyFill="1" applyBorder="1" applyAlignment="1">
      <alignment horizontal="center" vertical="center" wrapText="1"/>
    </xf>
    <xf numFmtId="0" fontId="1" fillId="6" borderId="6" xfId="0" applyFont="1" applyFill="1" applyBorder="1" applyAlignment="1">
      <alignment horizontal="center" vertical="center"/>
    </xf>
    <xf numFmtId="0" fontId="1" fillId="6" borderId="3" xfId="0" applyFont="1" applyFill="1" applyBorder="1" applyAlignment="1">
      <alignment horizontal="center" vertical="center"/>
    </xf>
    <xf numFmtId="0" fontId="1" fillId="6" borderId="6" xfId="0" applyFont="1" applyFill="1" applyBorder="1" applyAlignment="1">
      <alignment vertical="center"/>
    </xf>
    <xf numFmtId="22" fontId="0" fillId="4" borderId="6" xfId="0" applyNumberFormat="1" applyFill="1" applyBorder="1" applyAlignment="1">
      <alignment horizontal="center" vertical="center"/>
    </xf>
    <xf numFmtId="0" fontId="0" fillId="4" borderId="3" xfId="0" applyFill="1" applyBorder="1" applyAlignment="1">
      <alignment horizontal="center" vertical="center"/>
    </xf>
    <xf numFmtId="0" fontId="0" fillId="4" borderId="6" xfId="0" applyFill="1" applyBorder="1" applyAlignment="1">
      <alignment horizontal="center" vertical="center"/>
    </xf>
    <xf numFmtId="0" fontId="0" fillId="4" borderId="6" xfId="0" applyFill="1" applyBorder="1" applyAlignment="1">
      <alignment horizontal="center"/>
    </xf>
    <xf numFmtId="0" fontId="0" fillId="4" borderId="3" xfId="0" applyFill="1" applyBorder="1" applyAlignment="1">
      <alignment horizontal="center"/>
    </xf>
    <xf numFmtId="0" fontId="3" fillId="4" borderId="6" xfId="0" applyFont="1" applyFill="1" applyBorder="1" applyAlignment="1">
      <alignment horizontal="center" vertical="center"/>
    </xf>
    <xf numFmtId="0" fontId="0" fillId="4" borderId="3" xfId="0" applyFill="1" applyBorder="1" applyAlignment="1">
      <alignment horizontal="center" vertical="center" wrapText="1"/>
    </xf>
    <xf numFmtId="0" fontId="2" fillId="4" borderId="3" xfId="0" applyFont="1" applyFill="1" applyBorder="1" applyAlignment="1"/>
    <xf numFmtId="0" fontId="0" fillId="0" borderId="0" xfId="0" applyAlignment="1">
      <alignment horizontal="center"/>
    </xf>
    <xf numFmtId="0" fontId="0" fillId="3" borderId="3" xfId="0" applyFill="1" applyBorder="1" applyAlignment="1"/>
    <xf numFmtId="0" fontId="2" fillId="6" borderId="3" xfId="0" applyFont="1" applyFill="1" applyBorder="1" applyAlignment="1">
      <alignment horizontal="center"/>
    </xf>
    <xf numFmtId="0" fontId="2" fillId="7" borderId="3" xfId="0" applyFont="1" applyFill="1" applyBorder="1" applyAlignment="1">
      <alignment horizontal="center"/>
    </xf>
    <xf numFmtId="0" fontId="0" fillId="8" borderId="3" xfId="0" applyFill="1" applyBorder="1" applyAlignment="1"/>
    <xf numFmtId="164" fontId="0" fillId="4" borderId="3" xfId="0" applyNumberFormat="1" applyFill="1" applyBorder="1" applyAlignment="1">
      <alignment horizontal="center" vertical="center"/>
    </xf>
    <xf numFmtId="0" fontId="2" fillId="5" borderId="7" xfId="0" applyFont="1" applyFill="1" applyBorder="1" applyAlignment="1">
      <alignment horizontal="center"/>
    </xf>
    <xf numFmtId="0" fontId="2" fillId="5" borderId="6" xfId="0" applyFont="1" applyFill="1" applyBorder="1" applyAlignment="1">
      <alignment horizontal="center"/>
    </xf>
    <xf numFmtId="0" fontId="1" fillId="6" borderId="6" xfId="0" applyFont="1" applyFill="1" applyBorder="1" applyAlignment="1">
      <alignment horizontal="center" vertical="center"/>
    </xf>
    <xf numFmtId="0" fontId="1" fillId="6" borderId="3" xfId="0" applyFont="1" applyFill="1" applyBorder="1" applyAlignment="1">
      <alignment horizontal="center" vertical="center"/>
    </xf>
    <xf numFmtId="0" fontId="1" fillId="6" borderId="6" xfId="0" applyFont="1" applyFill="1" applyBorder="1" applyAlignment="1">
      <alignment horizontal="center"/>
    </xf>
    <xf numFmtId="0" fontId="1" fillId="6" borderId="3" xfId="0" applyFont="1" applyFill="1" applyBorder="1" applyAlignment="1">
      <alignment horizontal="center"/>
    </xf>
  </cellXfs>
  <cellStyles count="1">
    <cellStyle name="Normal" xfId="0" builtinId="0"/>
  </cellStyles>
  <dxfs count="127">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numFmt numFmtId="14" formatCode="0.00%"/>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numFmt numFmtId="14" formatCode="0.00%"/>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fill>
        <patternFill>
          <bgColor theme="9" tint="0.39994506668294322"/>
        </patternFill>
      </fill>
    </dxf>
  </dxfs>
  <tableStyles count="0" defaultTableStyle="TableStyleMedium2" defaultPivotStyle="PivotStyleLight16"/>
  <colors>
    <mruColors>
      <color rgb="FFFD7A2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1/relationships/timelineCache" Target="timelineCaches/timelineCache1.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[Final_project.xlsx]Pivote table!PivotTable1</c:name>
    <c:fmtId val="4"/>
  </c:pivotSource>
  <c:chart>
    <c:autoTitleDeleted val="1"/>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ln w="28575" cap="rnd">
            <a:solidFill>
              <a:schemeClr val="accent1"/>
            </a:solidFill>
            <a:round/>
          </a:ln>
          <a:effectLst/>
        </c:spPr>
        <c:marker>
          <c:symbol val="none"/>
        </c:marker>
      </c:pivotFmt>
    </c:pivotFmts>
    <c:plotArea>
      <c:layout>
        <c:manualLayout>
          <c:layoutTarget val="inner"/>
          <c:xMode val="edge"/>
          <c:yMode val="edge"/>
          <c:x val="0.13513648293963254"/>
          <c:y val="0.14213209331475543"/>
          <c:w val="0.86486351706036746"/>
          <c:h val="0.65280918726502835"/>
        </c:manualLayout>
      </c:layout>
      <c:lineChart>
        <c:grouping val="standard"/>
        <c:varyColors val="0"/>
        <c:ser>
          <c:idx val="0"/>
          <c:order val="0"/>
          <c:tx>
            <c:strRef>
              <c:f>'Pivote table'!$B$2</c:f>
              <c:strCache>
                <c:ptCount val="1"/>
                <c:pt idx="0">
                  <c:v>Total</c:v>
                </c:pt>
              </c:strCache>
            </c:strRef>
          </c:tx>
          <c:spPr>
            <a:ln w="28575" cap="rnd">
              <a:solidFill>
                <a:schemeClr val="accent1"/>
              </a:solidFill>
              <a:round/>
            </a:ln>
            <a:effectLst/>
          </c:spPr>
          <c:marker>
            <c:symbol val="none"/>
          </c:marker>
          <c:cat>
            <c:strRef>
              <c:f>'Pivote table'!$A$3:$A$15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'Pivote table'!$B$3:$B$15</c:f>
              <c:numCache>
                <c:formatCode>General</c:formatCode>
                <c:ptCount val="12"/>
                <c:pt idx="0">
                  <c:v>25799.15</c:v>
                </c:pt>
                <c:pt idx="1">
                  <c:v>16069.379999999997</c:v>
                </c:pt>
                <c:pt idx="2">
                  <c:v>19899.379999999997</c:v>
                </c:pt>
                <c:pt idx="3">
                  <c:v>27899.160000000007</c:v>
                </c:pt>
                <c:pt idx="4">
                  <c:v>17039.349999999999</c:v>
                </c:pt>
                <c:pt idx="5">
                  <c:v>19299.45</c:v>
                </c:pt>
                <c:pt idx="6">
                  <c:v>18479.399999999994</c:v>
                </c:pt>
                <c:pt idx="7">
                  <c:v>15759.429999999997</c:v>
                </c:pt>
                <c:pt idx="8">
                  <c:v>12989.509999999997</c:v>
                </c:pt>
                <c:pt idx="9">
                  <c:v>20609.52</c:v>
                </c:pt>
                <c:pt idx="10">
                  <c:v>12309.439999999999</c:v>
                </c:pt>
                <c:pt idx="11">
                  <c:v>23039.3</c:v>
                </c:pt>
              </c:numCache>
            </c:numRef>
          </c:val>
          <c:smooth val="0"/>
          <c:extLst>
            <c:ext xmlns:c16="http://schemas.microsoft.com/office/drawing/2014/chart" uri="{C3380CC4-5D6E-409C-BE32-E72D297353CC}">
              <c16:uniqueId val="{00000000-BA28-433A-A23A-64408D6296E9}"/>
            </c:ext>
          </c:extLst>
        </c:ser>
        <c:dLbls>
          <c:showLegendKey val="0"/>
          <c:showVal val="0"/>
          <c:showCatName val="0"/>
          <c:showSerName val="0"/>
          <c:showPercent val="0"/>
          <c:showBubbleSize val="0"/>
        </c:dLbls>
        <c:smooth val="0"/>
        <c:axId val="207607567"/>
        <c:axId val="207610063"/>
      </c:lineChart>
      <c:catAx>
        <c:axId val="2076075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610063"/>
        <c:crosses val="autoZero"/>
        <c:auto val="1"/>
        <c:lblAlgn val="ctr"/>
        <c:lblOffset val="100"/>
        <c:noMultiLvlLbl val="0"/>
      </c:catAx>
      <c:valAx>
        <c:axId val="20761006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607567"/>
        <c:crosses val="autoZero"/>
        <c:crossBetween val="between"/>
      </c:valAx>
      <c:spPr>
        <a:noFill/>
        <a:ln w="25400">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[Final_project.xlsx]Pivote table!PivotTable2</c:name>
    <c:fmtId val="23"/>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pivotFmt>
    </c:pivotFmts>
    <c:view3D>
      <c:rotX val="15"/>
      <c:rotY val="20"/>
      <c:depthPercent val="100"/>
      <c:rAngAx val="1"/>
    </c:view3D>
    <c:floor>
      <c:thickness val="0"/>
      <c:spPr>
        <a:noFill/>
        <a:ln w="25400">
          <a:noFill/>
        </a:ln>
        <a:effectLst/>
        <a:sp3d/>
      </c:spPr>
    </c:floor>
    <c:sideWall>
      <c:thickness val="0"/>
      <c:spPr>
        <a:noFill/>
        <a:ln w="25400">
          <a:noFill/>
        </a:ln>
        <a:effectLst/>
        <a:sp3d/>
      </c:spPr>
    </c:sideWall>
    <c:backWall>
      <c:thickness val="0"/>
      <c:spPr>
        <a:noFill/>
        <a:ln w="25400">
          <a:noFill/>
        </a:ln>
        <a:effectLst/>
        <a:sp3d/>
      </c:spPr>
    </c:backWall>
    <c:plotArea>
      <c:layout>
        <c:manualLayout>
          <c:layoutTarget val="inner"/>
          <c:xMode val="edge"/>
          <c:yMode val="edge"/>
          <c:x val="0"/>
          <c:y val="0"/>
          <c:w val="1"/>
          <c:h val="0.80099358904374884"/>
        </c:manualLayout>
      </c:layout>
      <c:bar3DChart>
        <c:barDir val="col"/>
        <c:grouping val="clustered"/>
        <c:varyColors val="0"/>
        <c:ser>
          <c:idx val="0"/>
          <c:order val="0"/>
          <c:tx>
            <c:strRef>
              <c:f>'Pivote table'!$B$19</c:f>
              <c:strCache>
                <c:ptCount val="1"/>
                <c:pt idx="0">
                  <c:v>Total</c:v>
                </c:pt>
              </c:strCache>
            </c:strRef>
          </c:tx>
          <c:spPr>
            <a:solidFill>
              <a:schemeClr val="accent1"/>
            </a:solidFill>
            <a:ln>
              <a:noFill/>
            </a:ln>
            <a:effectLst/>
            <a:sp3d/>
          </c:spPr>
          <c:invertIfNegative val="0"/>
          <c:cat>
            <c:strRef>
              <c:f>'Pivote table'!$A$20:$A$25</c:f>
              <c:strCache>
                <c:ptCount val="5"/>
                <c:pt idx="0">
                  <c:v>Central</c:v>
                </c:pt>
                <c:pt idx="1">
                  <c:v>East</c:v>
                </c:pt>
                <c:pt idx="2">
                  <c:v>North</c:v>
                </c:pt>
                <c:pt idx="3">
                  <c:v>South</c:v>
                </c:pt>
                <c:pt idx="4">
                  <c:v>West</c:v>
                </c:pt>
              </c:strCache>
            </c:strRef>
          </c:cat>
          <c:val>
            <c:numRef>
              <c:f>'Pivote table'!$B$20:$B$25</c:f>
              <c:numCache>
                <c:formatCode>General</c:formatCode>
                <c:ptCount val="5"/>
                <c:pt idx="0">
                  <c:v>41288.340000000018</c:v>
                </c:pt>
                <c:pt idx="1">
                  <c:v>59288.389999999992</c:v>
                </c:pt>
                <c:pt idx="2">
                  <c:v>50808.310000000012</c:v>
                </c:pt>
                <c:pt idx="3">
                  <c:v>36398.750000000007</c:v>
                </c:pt>
                <c:pt idx="4">
                  <c:v>41408.680000000015</c:v>
                </c:pt>
              </c:numCache>
            </c:numRef>
          </c:val>
          <c:extLst>
            <c:ext xmlns:c16="http://schemas.microsoft.com/office/drawing/2014/chart" uri="{C3380CC4-5D6E-409C-BE32-E72D297353CC}">
              <c16:uniqueId val="{00000000-A6EB-4F36-B4FE-882B21D9112D}"/>
            </c:ext>
          </c:extLst>
        </c:ser>
        <c:dLbls>
          <c:showLegendKey val="0"/>
          <c:showVal val="0"/>
          <c:showCatName val="0"/>
          <c:showSerName val="0"/>
          <c:showPercent val="0"/>
          <c:showBubbleSize val="0"/>
        </c:dLbls>
        <c:gapWidth val="150"/>
        <c:shape val="box"/>
        <c:axId val="221765663"/>
        <c:axId val="221766495"/>
        <c:axId val="0"/>
      </c:bar3DChart>
      <c:catAx>
        <c:axId val="22176566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1766495"/>
        <c:crosses val="autoZero"/>
        <c:auto val="1"/>
        <c:lblAlgn val="ctr"/>
        <c:lblOffset val="100"/>
        <c:noMultiLvlLbl val="0"/>
      </c:catAx>
      <c:valAx>
        <c:axId val="221766495"/>
        <c:scaling>
          <c:orientation val="minMax"/>
        </c:scaling>
        <c:delete val="1"/>
        <c:axPos val="l"/>
        <c:numFmt formatCode="General" sourceLinked="1"/>
        <c:majorTickMark val="none"/>
        <c:minorTickMark val="none"/>
        <c:tickLblPos val="nextTo"/>
        <c:crossAx val="221765663"/>
        <c:crosses val="autoZero"/>
        <c:crossBetween val="between"/>
      </c:valAx>
      <c:spPr>
        <a:noFill/>
        <a:ln w="25400">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[Final_project.xlsx]Pivote table!PivotTable3</c:name>
    <c:fmtId val="3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'Pivote table'!$B$28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'Pivote table'!$A$29:$A$39</c:f>
              <c:strCache>
                <c:ptCount val="10"/>
                <c:pt idx="0">
                  <c:v>Blender</c:v>
                </c:pt>
                <c:pt idx="1">
                  <c:v>Bookshelf</c:v>
                </c:pt>
                <c:pt idx="2">
                  <c:v>Coffee Maker</c:v>
                </c:pt>
                <c:pt idx="3">
                  <c:v>Desk</c:v>
                </c:pt>
                <c:pt idx="4">
                  <c:v>Headphones</c:v>
                </c:pt>
                <c:pt idx="5">
                  <c:v>Keyboard</c:v>
                </c:pt>
                <c:pt idx="6">
                  <c:v>Laptop</c:v>
                </c:pt>
                <c:pt idx="7">
                  <c:v>Monitor</c:v>
                </c:pt>
                <c:pt idx="8">
                  <c:v>Office Chair</c:v>
                </c:pt>
                <c:pt idx="9">
                  <c:v>Smartphone</c:v>
                </c:pt>
              </c:strCache>
            </c:strRef>
          </c:cat>
          <c:val>
            <c:numRef>
              <c:f>'Pivote table'!$B$29:$B$39</c:f>
              <c:numCache>
                <c:formatCode>0.00%</c:formatCode>
                <c:ptCount val="10"/>
                <c:pt idx="0">
                  <c:v>2.2771821430259021E-2</c:v>
                </c:pt>
                <c:pt idx="1">
                  <c:v>6.6751669459297669E-2</c:v>
                </c:pt>
                <c:pt idx="2">
                  <c:v>1.361131105223483E-2</c:v>
                </c:pt>
                <c:pt idx="3">
                  <c:v>0.10209419183797794</c:v>
                </c:pt>
                <c:pt idx="4">
                  <c:v>3.0758122201833243E-2</c:v>
                </c:pt>
                <c:pt idx="5">
                  <c:v>3.4944908966686374E-2</c:v>
                </c:pt>
                <c:pt idx="6">
                  <c:v>0.29450902117333966</c:v>
                </c:pt>
                <c:pt idx="7">
                  <c:v>9.5985352398357593E-2</c:v>
                </c:pt>
                <c:pt idx="8">
                  <c:v>4.5374440093952473E-2</c:v>
                </c:pt>
                <c:pt idx="9">
                  <c:v>0.29319916138606122</c:v>
                </c:pt>
              </c:numCache>
            </c:numRef>
          </c:val>
          <c:extLst>
            <c:ext xmlns:c16="http://schemas.microsoft.com/office/drawing/2014/chart" uri="{C3380CC4-5D6E-409C-BE32-E72D297353CC}">
              <c16:uniqueId val="{00000000-2AE4-4453-9967-2DD9561347FB}"/>
            </c:ext>
          </c:extLst>
        </c:ser>
        <c:dLbls>
          <c:showLegendKey val="0"/>
          <c:showVal val="0"/>
          <c:showCatName val="0"/>
          <c:showSerName val="0"/>
          <c:showPercent val="0"/>
          <c:showBubbleSize val="0"/>
        </c:dLbls>
        <c:gapWidth val="182"/>
        <c:axId val="238259151"/>
        <c:axId val="238259983"/>
      </c:barChart>
      <c:catAx>
        <c:axId val="23825915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8259983"/>
        <c:crosses val="autoZero"/>
        <c:auto val="1"/>
        <c:lblAlgn val="ctr"/>
        <c:lblOffset val="100"/>
        <c:noMultiLvlLbl val="0"/>
      </c:catAx>
      <c:valAx>
        <c:axId val="238259983"/>
        <c:scaling>
          <c:orientation val="minMax"/>
        </c:scaling>
        <c:delete val="1"/>
        <c:axPos val="b"/>
        <c:numFmt formatCode="0.00%" sourceLinked="1"/>
        <c:majorTickMark val="none"/>
        <c:minorTickMark val="none"/>
        <c:tickLblPos val="nextTo"/>
        <c:crossAx val="238259151"/>
        <c:crosses val="autoZero"/>
        <c:crossBetween val="between"/>
      </c:valAx>
      <c:spPr>
        <a:noFill/>
        <a:ln w="25400">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chart" Target="../charts/chart3.xml"/><Relationship Id="rId5" Type="http://schemas.openxmlformats.org/officeDocument/2006/relationships/chart" Target="../charts/chart2.xml"/><Relationship Id="rId4"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474754</xdr:colOff>
      <xdr:row>0</xdr:row>
      <xdr:rowOff>74706</xdr:rowOff>
    </xdr:from>
    <xdr:to>
      <xdr:col>22</xdr:col>
      <xdr:colOff>463176</xdr:colOff>
      <xdr:row>28</xdr:row>
      <xdr:rowOff>82176</xdr:rowOff>
    </xdr:to>
    <xdr:sp macro="" textlink="">
      <xdr:nvSpPr>
        <xdr:cNvPr id="2" name="Rounded Rectangle 1"/>
        <xdr:cNvSpPr/>
      </xdr:nvSpPr>
      <xdr:spPr>
        <a:xfrm>
          <a:off x="474754" y="74706"/>
          <a:ext cx="13465363" cy="5236882"/>
        </a:xfrm>
        <a:prstGeom prst="roundRect">
          <a:avLst>
            <a:gd name="adj" fmla="val 4407"/>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530413</xdr:colOff>
      <xdr:row>0</xdr:row>
      <xdr:rowOff>134471</xdr:rowOff>
    </xdr:from>
    <xdr:to>
      <xdr:col>22</xdr:col>
      <xdr:colOff>343647</xdr:colOff>
      <xdr:row>28</xdr:row>
      <xdr:rowOff>22412</xdr:rowOff>
    </xdr:to>
    <xdr:sp macro="" textlink="">
      <xdr:nvSpPr>
        <xdr:cNvPr id="3" name="Rounded Rectangle 2"/>
        <xdr:cNvSpPr/>
      </xdr:nvSpPr>
      <xdr:spPr>
        <a:xfrm>
          <a:off x="2980766" y="134471"/>
          <a:ext cx="10839822" cy="5117353"/>
        </a:xfrm>
        <a:prstGeom prst="roundRect">
          <a:avLst>
            <a:gd name="adj" fmla="val 5492"/>
          </a:avLst>
        </a:prstGeom>
        <a:solidFill>
          <a:schemeClr val="accent1">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5</xdr:col>
      <xdr:colOff>44825</xdr:colOff>
      <xdr:row>1</xdr:row>
      <xdr:rowOff>14941</xdr:rowOff>
    </xdr:from>
    <xdr:to>
      <xdr:col>17</xdr:col>
      <xdr:colOff>254000</xdr:colOff>
      <xdr:row>6</xdr:row>
      <xdr:rowOff>8218</xdr:rowOff>
    </xdr:to>
    <mc:AlternateContent xmlns:mc="http://schemas.openxmlformats.org/markup-compatibility/2006" xmlns:tsle="http://schemas.microsoft.com/office/drawing/2012/timeslicer">
      <mc:Choice Requires="tsle">
        <xdr:graphicFrame macro="">
          <xdr:nvGraphicFramePr>
            <xdr:cNvPr id="4" name="Date 1"/>
            <xdr:cNvGraphicFramePr/>
          </xdr:nvGraphicFramePr>
          <xdr:xfrm>
            <a:off x="0" y="0"/>
            <a:ext cx="0" cy="0"/>
          </xdr:xfrm>
          <a:graphic>
            <a:graphicData uri="http://schemas.microsoft.com/office/drawing/2012/timeslicer">
              <tsle:timeslicer name="Date 1"/>
            </a:graphicData>
          </a:graphic>
        </xdr:graphicFrame>
      </mc:Choice>
      <mc:Fallback xmlns="">
        <xdr:sp macro="" textlink="">
          <xdr:nvSpPr>
            <xdr:cNvPr id="0" name=""/>
            <xdr:cNvSpPr>
              <a:spLocks noTextEdit="1"/>
            </xdr:cNvSpPr>
          </xdr:nvSpPr>
          <xdr:spPr>
            <a:xfrm>
              <a:off x="3107766" y="201706"/>
              <a:ext cx="7560234" cy="927100"/>
            </a:xfrm>
            <a:prstGeom prst="rect">
              <a:avLst/>
            </a:prstGeom>
            <a:solidFill>
              <a:prstClr val="white"/>
            </a:solidFill>
            <a:ln w="1">
              <a:solidFill>
                <a:prstClr val="green"/>
              </a:solidFill>
            </a:ln>
          </xdr:spPr>
          <xdr:txBody>
            <a:bodyPr vertOverflow="clip" horzOverflow="clip"/>
            <a:lstStyle/>
            <a:p>
              <a:r>
                <a:rPr lang="en-IN" sz="1100"/>
                <a:t>Timeline: Works in Excel or higher. Do not move or resize.</a:t>
              </a:r>
            </a:p>
          </xdr:txBody>
        </xdr:sp>
      </mc:Fallback>
    </mc:AlternateContent>
    <xdr:clientData/>
  </xdr:twoCellAnchor>
  <xdr:twoCellAnchor editAs="oneCell">
    <xdr:from>
      <xdr:col>17</xdr:col>
      <xdr:colOff>336176</xdr:colOff>
      <xdr:row>1</xdr:row>
      <xdr:rowOff>7470</xdr:rowOff>
    </xdr:from>
    <xdr:to>
      <xdr:col>22</xdr:col>
      <xdr:colOff>224118</xdr:colOff>
      <xdr:row>6</xdr:row>
      <xdr:rowOff>22411</xdr:rowOff>
    </xdr:to>
    <mc:AlternateContent xmlns:mc="http://schemas.openxmlformats.org/markup-compatibility/2006" xmlns:a14="http://schemas.microsoft.com/office/drawing/2010/main">
      <mc:Choice Requires="a14">
        <xdr:graphicFrame macro="">
          <xdr:nvGraphicFramePr>
            <xdr:cNvPr id="5" name="Region 1"/>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0750176" y="194235"/>
              <a:ext cx="2950883" cy="94876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74706</xdr:colOff>
      <xdr:row>6</xdr:row>
      <xdr:rowOff>112059</xdr:rowOff>
    </xdr:from>
    <xdr:to>
      <xdr:col>22</xdr:col>
      <xdr:colOff>231587</xdr:colOff>
      <xdr:row>10</xdr:row>
      <xdr:rowOff>14941</xdr:rowOff>
    </xdr:to>
    <mc:AlternateContent xmlns:mc="http://schemas.openxmlformats.org/markup-compatibility/2006" xmlns:a14="http://schemas.microsoft.com/office/drawing/2010/main">
      <mc:Choice Requires="a14">
        <xdr:graphicFrame macro="">
          <xdr:nvGraphicFramePr>
            <xdr:cNvPr id="6" name="Product_Name 1"/>
            <xdr:cNvGraphicFramePr/>
          </xdr:nvGraphicFramePr>
          <xdr:xfrm>
            <a:off x="0" y="0"/>
            <a:ext cx="0" cy="0"/>
          </xdr:xfrm>
          <a:graphic>
            <a:graphicData uri="http://schemas.microsoft.com/office/drawing/2010/slicer">
              <sle:slicer xmlns:sle="http://schemas.microsoft.com/office/drawing/2010/slicer" name="Product_Name 1"/>
            </a:graphicData>
          </a:graphic>
        </xdr:graphicFrame>
      </mc:Choice>
      <mc:Fallback xmlns="">
        <xdr:sp macro="" textlink="">
          <xdr:nvSpPr>
            <xdr:cNvPr id="0" name=""/>
            <xdr:cNvSpPr>
              <a:spLocks noTextEdit="1"/>
            </xdr:cNvSpPr>
          </xdr:nvSpPr>
          <xdr:spPr>
            <a:xfrm>
              <a:off x="3137647" y="1232647"/>
              <a:ext cx="10570881" cy="64994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108324</xdr:colOff>
      <xdr:row>10</xdr:row>
      <xdr:rowOff>52291</xdr:rowOff>
    </xdr:from>
    <xdr:to>
      <xdr:col>5</xdr:col>
      <xdr:colOff>552825</xdr:colOff>
      <xdr:row>12</xdr:row>
      <xdr:rowOff>59762</xdr:rowOff>
    </xdr:to>
    <xdr:pic>
      <xdr:nvPicPr>
        <xdr:cNvPr id="7" name="Picture 6"/>
        <xdr:cNvPicPr>
          <a:picLocks noChangeAspect="1"/>
        </xdr:cNvPicPr>
      </xdr:nvPicPr>
      <xdr:blipFill>
        <a:blip xmlns:r="http://schemas.openxmlformats.org/officeDocument/2006/relationships" r:embed="rId1" cstate="print">
          <a:duotone>
            <a:prstClr val="black"/>
            <a:schemeClr val="accent4">
              <a:tint val="45000"/>
              <a:satMod val="400000"/>
            </a:schemeClr>
          </a:duotone>
          <a:extLst>
            <a:ext uri="{28A0092B-C50C-407E-A947-70E740481C1C}">
              <a14:useLocalDpi xmlns:a14="http://schemas.microsoft.com/office/drawing/2010/main" val="0"/>
            </a:ext>
          </a:extLst>
        </a:blip>
        <a:stretch>
          <a:fillRect/>
        </a:stretch>
      </xdr:blipFill>
      <xdr:spPr>
        <a:xfrm>
          <a:off x="3171265" y="1919938"/>
          <a:ext cx="444501" cy="381000"/>
        </a:xfrm>
        <a:prstGeom prst="rect">
          <a:avLst/>
        </a:prstGeom>
      </xdr:spPr>
    </xdr:pic>
    <xdr:clientData/>
  </xdr:twoCellAnchor>
  <xdr:twoCellAnchor>
    <xdr:from>
      <xdr:col>5</xdr:col>
      <xdr:colOff>493060</xdr:colOff>
      <xdr:row>10</xdr:row>
      <xdr:rowOff>126997</xdr:rowOff>
    </xdr:from>
    <xdr:to>
      <xdr:col>7</xdr:col>
      <xdr:colOff>500530</xdr:colOff>
      <xdr:row>12</xdr:row>
      <xdr:rowOff>119527</xdr:rowOff>
    </xdr:to>
    <xdr:sp macro="" textlink="">
      <xdr:nvSpPr>
        <xdr:cNvPr id="8" name="Rectangle 7"/>
        <xdr:cNvSpPr/>
      </xdr:nvSpPr>
      <xdr:spPr>
        <a:xfrm>
          <a:off x="3556001" y="1994644"/>
          <a:ext cx="1232647" cy="366059"/>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2000" b="1">
              <a:solidFill>
                <a:schemeClr val="tx1"/>
              </a:solidFill>
            </a:rPr>
            <a:t>Analytics</a:t>
          </a:r>
        </a:p>
      </xdr:txBody>
    </xdr:sp>
    <xdr:clientData/>
  </xdr:twoCellAnchor>
  <xdr:twoCellAnchor>
    <xdr:from>
      <xdr:col>13</xdr:col>
      <xdr:colOff>493059</xdr:colOff>
      <xdr:row>10</xdr:row>
      <xdr:rowOff>89646</xdr:rowOff>
    </xdr:from>
    <xdr:to>
      <xdr:col>22</xdr:col>
      <xdr:colOff>246530</xdr:colOff>
      <xdr:row>18</xdr:row>
      <xdr:rowOff>149411</xdr:rowOff>
    </xdr:to>
    <xdr:sp macro="" textlink="">
      <xdr:nvSpPr>
        <xdr:cNvPr id="9" name="Rectangle 8"/>
        <xdr:cNvSpPr/>
      </xdr:nvSpPr>
      <xdr:spPr>
        <a:xfrm>
          <a:off x="8456706" y="1957293"/>
          <a:ext cx="5266765" cy="1553883"/>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493059</xdr:colOff>
      <xdr:row>19</xdr:row>
      <xdr:rowOff>22412</xdr:rowOff>
    </xdr:from>
    <xdr:to>
      <xdr:col>22</xdr:col>
      <xdr:colOff>246530</xdr:colOff>
      <xdr:row>27</xdr:row>
      <xdr:rowOff>89646</xdr:rowOff>
    </xdr:to>
    <xdr:sp macro="" textlink="">
      <xdr:nvSpPr>
        <xdr:cNvPr id="10" name="Rectangle 9"/>
        <xdr:cNvSpPr/>
      </xdr:nvSpPr>
      <xdr:spPr>
        <a:xfrm>
          <a:off x="8456706" y="3570941"/>
          <a:ext cx="5266765" cy="1561352"/>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67235</xdr:colOff>
      <xdr:row>16</xdr:row>
      <xdr:rowOff>164354</xdr:rowOff>
    </xdr:from>
    <xdr:to>
      <xdr:col>13</xdr:col>
      <xdr:colOff>403412</xdr:colOff>
      <xdr:row>27</xdr:row>
      <xdr:rowOff>97120</xdr:rowOff>
    </xdr:to>
    <xdr:sp macro="" textlink="">
      <xdr:nvSpPr>
        <xdr:cNvPr id="12" name="Rectangle 11"/>
        <xdr:cNvSpPr/>
      </xdr:nvSpPr>
      <xdr:spPr>
        <a:xfrm>
          <a:off x="3130176" y="3152589"/>
          <a:ext cx="5236883" cy="1987178"/>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104589</xdr:colOff>
      <xdr:row>12</xdr:row>
      <xdr:rowOff>141941</xdr:rowOff>
    </xdr:from>
    <xdr:to>
      <xdr:col>8</xdr:col>
      <xdr:colOff>515471</xdr:colOff>
      <xdr:row>16</xdr:row>
      <xdr:rowOff>67235</xdr:rowOff>
    </xdr:to>
    <xdr:sp macro="" textlink="">
      <xdr:nvSpPr>
        <xdr:cNvPr id="13" name="Rounded Rectangle 12"/>
        <xdr:cNvSpPr/>
      </xdr:nvSpPr>
      <xdr:spPr>
        <a:xfrm>
          <a:off x="3167530" y="2383117"/>
          <a:ext cx="2248647" cy="672353"/>
        </a:xfrm>
        <a:prstGeom prst="roundRect">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343647</xdr:colOff>
      <xdr:row>12</xdr:row>
      <xdr:rowOff>141940</xdr:rowOff>
    </xdr:from>
    <xdr:to>
      <xdr:col>13</xdr:col>
      <xdr:colOff>141941</xdr:colOff>
      <xdr:row>16</xdr:row>
      <xdr:rowOff>67234</xdr:rowOff>
    </xdr:to>
    <xdr:sp macro="" textlink="">
      <xdr:nvSpPr>
        <xdr:cNvPr id="14" name="Rounded Rectangle 13"/>
        <xdr:cNvSpPr/>
      </xdr:nvSpPr>
      <xdr:spPr>
        <a:xfrm>
          <a:off x="5856941" y="2383116"/>
          <a:ext cx="2248647" cy="672353"/>
        </a:xfrm>
        <a:prstGeom prst="roundRect">
          <a:avLst/>
        </a:prstGeom>
        <a:solidFill>
          <a:srgbClr val="FD7A2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224120</xdr:colOff>
      <xdr:row>12</xdr:row>
      <xdr:rowOff>141939</xdr:rowOff>
    </xdr:from>
    <xdr:to>
      <xdr:col>9</xdr:col>
      <xdr:colOff>112059</xdr:colOff>
      <xdr:row>16</xdr:row>
      <xdr:rowOff>67233</xdr:rowOff>
    </xdr:to>
    <xdr:sp macro="" textlink="">
      <xdr:nvSpPr>
        <xdr:cNvPr id="15" name="Rounded Rectangle 14"/>
        <xdr:cNvSpPr/>
      </xdr:nvSpPr>
      <xdr:spPr>
        <a:xfrm>
          <a:off x="3287061" y="2383115"/>
          <a:ext cx="2338292" cy="672353"/>
        </a:xfrm>
        <a:prstGeom prst="round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463175</xdr:colOff>
      <xdr:row>12</xdr:row>
      <xdr:rowOff>141940</xdr:rowOff>
    </xdr:from>
    <xdr:to>
      <xdr:col>13</xdr:col>
      <xdr:colOff>373528</xdr:colOff>
      <xdr:row>16</xdr:row>
      <xdr:rowOff>67234</xdr:rowOff>
    </xdr:to>
    <xdr:sp macro="" textlink="">
      <xdr:nvSpPr>
        <xdr:cNvPr id="16" name="Rounded Rectangle 15"/>
        <xdr:cNvSpPr/>
      </xdr:nvSpPr>
      <xdr:spPr>
        <a:xfrm>
          <a:off x="5976469" y="2383116"/>
          <a:ext cx="2360706" cy="672353"/>
        </a:xfrm>
        <a:prstGeom prst="round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171828</xdr:colOff>
      <xdr:row>12</xdr:row>
      <xdr:rowOff>156874</xdr:rowOff>
    </xdr:from>
    <xdr:to>
      <xdr:col>9</xdr:col>
      <xdr:colOff>22415</xdr:colOff>
      <xdr:row>14</xdr:row>
      <xdr:rowOff>74698</xdr:rowOff>
    </xdr:to>
    <xdr:sp macro="" textlink="">
      <xdr:nvSpPr>
        <xdr:cNvPr id="20" name="Rectangle 19"/>
        <xdr:cNvSpPr/>
      </xdr:nvSpPr>
      <xdr:spPr>
        <a:xfrm>
          <a:off x="3847357" y="2398050"/>
          <a:ext cx="1688352" cy="291354"/>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1">
              <a:solidFill>
                <a:schemeClr val="tx1"/>
              </a:solidFill>
            </a:rPr>
            <a:t>Total Amount</a:t>
          </a:r>
        </a:p>
      </xdr:txBody>
    </xdr:sp>
    <xdr:clientData/>
  </xdr:twoCellAnchor>
  <xdr:twoCellAnchor>
    <xdr:from>
      <xdr:col>10</xdr:col>
      <xdr:colOff>373528</xdr:colOff>
      <xdr:row>11</xdr:row>
      <xdr:rowOff>164351</xdr:rowOff>
    </xdr:from>
    <xdr:to>
      <xdr:col>13</xdr:col>
      <xdr:colOff>336174</xdr:colOff>
      <xdr:row>15</xdr:row>
      <xdr:rowOff>97115</xdr:rowOff>
    </xdr:to>
    <xdr:sp macro="" textlink="">
      <xdr:nvSpPr>
        <xdr:cNvPr id="24" name="Rectangle 23"/>
        <xdr:cNvSpPr/>
      </xdr:nvSpPr>
      <xdr:spPr>
        <a:xfrm>
          <a:off x="6499410" y="2218763"/>
          <a:ext cx="1800411" cy="679823"/>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1">
              <a:solidFill>
                <a:schemeClr val="tx1"/>
              </a:solidFill>
            </a:rPr>
            <a:t>Total Sales</a:t>
          </a:r>
        </a:p>
      </xdr:txBody>
    </xdr:sp>
    <xdr:clientData/>
  </xdr:twoCellAnchor>
  <xdr:twoCellAnchor editAs="oneCell">
    <xdr:from>
      <xdr:col>10</xdr:col>
      <xdr:colOff>7468</xdr:colOff>
      <xdr:row>12</xdr:row>
      <xdr:rowOff>186763</xdr:rowOff>
    </xdr:from>
    <xdr:to>
      <xdr:col>10</xdr:col>
      <xdr:colOff>605116</xdr:colOff>
      <xdr:row>16</xdr:row>
      <xdr:rowOff>59763</xdr:rowOff>
    </xdr:to>
    <xdr:pic>
      <xdr:nvPicPr>
        <xdr:cNvPr id="25" name="Picture 24"/>
        <xdr:cNvPicPr>
          <a:picLocks noChangeAspect="1"/>
        </xdr:cNvPicPr>
      </xdr:nvPicPr>
      <xdr:blipFill>
        <a:blip xmlns:r="http://schemas.openxmlformats.org/officeDocument/2006/relationships" r:embed="rId2" cstate="print">
          <a:duotone>
            <a:schemeClr val="accent2">
              <a:shade val="45000"/>
              <a:satMod val="135000"/>
            </a:schemeClr>
            <a:prstClr val="white"/>
          </a:duotone>
          <a:extLst>
            <a:ext uri="{28A0092B-C50C-407E-A947-70E740481C1C}">
              <a14:useLocalDpi xmlns:a14="http://schemas.microsoft.com/office/drawing/2010/main" val="0"/>
            </a:ext>
          </a:extLst>
        </a:blip>
        <a:stretch>
          <a:fillRect/>
        </a:stretch>
      </xdr:blipFill>
      <xdr:spPr>
        <a:xfrm>
          <a:off x="6133350" y="2427939"/>
          <a:ext cx="597648" cy="620059"/>
        </a:xfrm>
        <a:prstGeom prst="rect">
          <a:avLst/>
        </a:prstGeom>
      </xdr:spPr>
    </xdr:pic>
    <xdr:clientData/>
  </xdr:twoCellAnchor>
  <xdr:twoCellAnchor>
    <xdr:from>
      <xdr:col>12</xdr:col>
      <xdr:colOff>552819</xdr:colOff>
      <xdr:row>10</xdr:row>
      <xdr:rowOff>37342</xdr:rowOff>
    </xdr:from>
    <xdr:to>
      <xdr:col>17</xdr:col>
      <xdr:colOff>186765</xdr:colOff>
      <xdr:row>12</xdr:row>
      <xdr:rowOff>14942</xdr:rowOff>
    </xdr:to>
    <xdr:sp macro="" textlink="">
      <xdr:nvSpPr>
        <xdr:cNvPr id="11" name="Rectangle 10"/>
        <xdr:cNvSpPr/>
      </xdr:nvSpPr>
      <xdr:spPr>
        <a:xfrm>
          <a:off x="7903878" y="1904989"/>
          <a:ext cx="2696887" cy="351129"/>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1">
              <a:solidFill>
                <a:schemeClr val="tx1"/>
              </a:solidFill>
            </a:rPr>
            <a:t>Sales By Month's</a:t>
          </a:r>
        </a:p>
      </xdr:txBody>
    </xdr:sp>
    <xdr:clientData/>
  </xdr:twoCellAnchor>
  <xdr:twoCellAnchor>
    <xdr:from>
      <xdr:col>12</xdr:col>
      <xdr:colOff>44810</xdr:colOff>
      <xdr:row>18</xdr:row>
      <xdr:rowOff>149412</xdr:rowOff>
    </xdr:from>
    <xdr:to>
      <xdr:col>17</xdr:col>
      <xdr:colOff>567762</xdr:colOff>
      <xdr:row>20</xdr:row>
      <xdr:rowOff>134471</xdr:rowOff>
    </xdr:to>
    <xdr:sp macro="" textlink="">
      <xdr:nvSpPr>
        <xdr:cNvPr id="17" name="Rectangle 16"/>
        <xdr:cNvSpPr/>
      </xdr:nvSpPr>
      <xdr:spPr>
        <a:xfrm>
          <a:off x="7395869" y="3511177"/>
          <a:ext cx="3585893" cy="358588"/>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1">
              <a:solidFill>
                <a:schemeClr val="tx1"/>
              </a:solidFill>
            </a:rPr>
            <a:t>Sales By Region</a:t>
          </a:r>
        </a:p>
      </xdr:txBody>
    </xdr:sp>
    <xdr:clientData/>
  </xdr:twoCellAnchor>
  <xdr:twoCellAnchor editAs="oneCell">
    <xdr:from>
      <xdr:col>5</xdr:col>
      <xdr:colOff>395942</xdr:colOff>
      <xdr:row>13</xdr:row>
      <xdr:rowOff>44824</xdr:rowOff>
    </xdr:from>
    <xdr:to>
      <xdr:col>6</xdr:col>
      <xdr:colOff>266731</xdr:colOff>
      <xdr:row>15</xdr:row>
      <xdr:rowOff>154671</xdr:rowOff>
    </xdr:to>
    <xdr:pic>
      <xdr:nvPicPr>
        <xdr:cNvPr id="18" name="Picture 17"/>
        <xdr:cNvPicPr>
          <a:picLocks noChangeAspect="1"/>
        </xdr:cNvPicPr>
      </xdr:nvPicPr>
      <xdr:blipFill>
        <a:blip xmlns:r="http://schemas.openxmlformats.org/officeDocument/2006/relationships" r:embed="rId3" cstate="print">
          <a:duotone>
            <a:schemeClr val="accent6">
              <a:shade val="45000"/>
              <a:satMod val="135000"/>
            </a:schemeClr>
            <a:prstClr val="white"/>
          </a:duotone>
          <a:extLst>
            <a:ext uri="{28A0092B-C50C-407E-A947-70E740481C1C}">
              <a14:useLocalDpi xmlns:a14="http://schemas.microsoft.com/office/drawing/2010/main" val="0"/>
            </a:ext>
          </a:extLst>
        </a:blip>
        <a:stretch>
          <a:fillRect/>
        </a:stretch>
      </xdr:blipFill>
      <xdr:spPr>
        <a:xfrm>
          <a:off x="3458883" y="2472765"/>
          <a:ext cx="483377" cy="483377"/>
        </a:xfrm>
        <a:prstGeom prst="rect">
          <a:avLst/>
        </a:prstGeom>
      </xdr:spPr>
    </xdr:pic>
    <xdr:clientData/>
  </xdr:twoCellAnchor>
  <xdr:twoCellAnchor>
    <xdr:from>
      <xdr:col>1</xdr:col>
      <xdr:colOff>351118</xdr:colOff>
      <xdr:row>10</xdr:row>
      <xdr:rowOff>67246</xdr:rowOff>
    </xdr:from>
    <xdr:to>
      <xdr:col>4</xdr:col>
      <xdr:colOff>164353</xdr:colOff>
      <xdr:row>12</xdr:row>
      <xdr:rowOff>89658</xdr:rowOff>
    </xdr:to>
    <xdr:sp macro="" textlink="">
      <xdr:nvSpPr>
        <xdr:cNvPr id="19" name="Rounded Rectangle 18"/>
        <xdr:cNvSpPr/>
      </xdr:nvSpPr>
      <xdr:spPr>
        <a:xfrm>
          <a:off x="963706" y="1934893"/>
          <a:ext cx="1651000" cy="395941"/>
        </a:xfrm>
        <a:prstGeom prst="roundRect">
          <a:avLst>
            <a:gd name="adj" fmla="val 50000"/>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b="1">
              <a:solidFill>
                <a:schemeClr val="tx1"/>
              </a:solidFill>
            </a:rPr>
            <a:t>DASHBOARD</a:t>
          </a:r>
        </a:p>
      </xdr:txBody>
    </xdr:sp>
    <xdr:clientData/>
  </xdr:twoCellAnchor>
  <xdr:twoCellAnchor>
    <xdr:from>
      <xdr:col>1</xdr:col>
      <xdr:colOff>351118</xdr:colOff>
      <xdr:row>13</xdr:row>
      <xdr:rowOff>44836</xdr:rowOff>
    </xdr:from>
    <xdr:to>
      <xdr:col>4</xdr:col>
      <xdr:colOff>164353</xdr:colOff>
      <xdr:row>15</xdr:row>
      <xdr:rowOff>67247</xdr:rowOff>
    </xdr:to>
    <xdr:sp macro="" textlink="">
      <xdr:nvSpPr>
        <xdr:cNvPr id="26" name="Rounded Rectangle 25"/>
        <xdr:cNvSpPr/>
      </xdr:nvSpPr>
      <xdr:spPr>
        <a:xfrm>
          <a:off x="963706" y="2472777"/>
          <a:ext cx="1651000" cy="395941"/>
        </a:xfrm>
        <a:prstGeom prst="roundRect">
          <a:avLst>
            <a:gd name="adj" fmla="val 50000"/>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b="1">
              <a:solidFill>
                <a:schemeClr val="bg1"/>
              </a:solidFill>
            </a:rPr>
            <a:t>PRODUCTS</a:t>
          </a:r>
        </a:p>
      </xdr:txBody>
    </xdr:sp>
    <xdr:clientData/>
  </xdr:twoCellAnchor>
  <xdr:twoCellAnchor>
    <xdr:from>
      <xdr:col>1</xdr:col>
      <xdr:colOff>343647</xdr:colOff>
      <xdr:row>16</xdr:row>
      <xdr:rowOff>52302</xdr:rowOff>
    </xdr:from>
    <xdr:to>
      <xdr:col>4</xdr:col>
      <xdr:colOff>156882</xdr:colOff>
      <xdr:row>18</xdr:row>
      <xdr:rowOff>74713</xdr:rowOff>
    </xdr:to>
    <xdr:sp macro="" textlink="">
      <xdr:nvSpPr>
        <xdr:cNvPr id="27" name="Rounded Rectangle 26"/>
        <xdr:cNvSpPr/>
      </xdr:nvSpPr>
      <xdr:spPr>
        <a:xfrm>
          <a:off x="956235" y="3040537"/>
          <a:ext cx="1651000" cy="395941"/>
        </a:xfrm>
        <a:prstGeom prst="roundRect">
          <a:avLst>
            <a:gd name="adj" fmla="val 50000"/>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b="1">
              <a:solidFill>
                <a:schemeClr val="bg1"/>
              </a:solidFill>
            </a:rPr>
            <a:t>CUSTOMERS</a:t>
          </a:r>
        </a:p>
      </xdr:txBody>
    </xdr:sp>
    <xdr:clientData/>
  </xdr:twoCellAnchor>
  <xdr:twoCellAnchor>
    <xdr:from>
      <xdr:col>13</xdr:col>
      <xdr:colOff>537882</xdr:colOff>
      <xdr:row>11</xdr:row>
      <xdr:rowOff>171822</xdr:rowOff>
    </xdr:from>
    <xdr:to>
      <xdr:col>22</xdr:col>
      <xdr:colOff>179293</xdr:colOff>
      <xdr:row>18</xdr:row>
      <xdr:rowOff>115418</xdr:rowOff>
    </xdr:to>
    <xdr:graphicFrame macro="">
      <xdr:nvGraphicFramePr>
        <xdr:cNvPr id="32" name="Chart 3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515471</xdr:colOff>
      <xdr:row>20</xdr:row>
      <xdr:rowOff>134471</xdr:rowOff>
    </xdr:from>
    <xdr:to>
      <xdr:col>22</xdr:col>
      <xdr:colOff>127000</xdr:colOff>
      <xdr:row>27</xdr:row>
      <xdr:rowOff>37353</xdr:rowOff>
    </xdr:to>
    <xdr:graphicFrame macro="">
      <xdr:nvGraphicFramePr>
        <xdr:cNvPr id="34" name="Chart 3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283877</xdr:colOff>
      <xdr:row>16</xdr:row>
      <xdr:rowOff>104581</xdr:rowOff>
    </xdr:from>
    <xdr:to>
      <xdr:col>8</xdr:col>
      <xdr:colOff>179289</xdr:colOff>
      <xdr:row>18</xdr:row>
      <xdr:rowOff>119522</xdr:rowOff>
    </xdr:to>
    <xdr:sp macro="" textlink="">
      <xdr:nvSpPr>
        <xdr:cNvPr id="37" name="Rectangle 36"/>
        <xdr:cNvSpPr/>
      </xdr:nvSpPr>
      <xdr:spPr>
        <a:xfrm>
          <a:off x="2734230" y="3092816"/>
          <a:ext cx="2345765" cy="388471"/>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1">
              <a:solidFill>
                <a:schemeClr val="tx1"/>
              </a:solidFill>
            </a:rPr>
            <a:t>Sales</a:t>
          </a:r>
          <a:r>
            <a:rPr lang="en-IN" sz="1600" b="1" baseline="0">
              <a:solidFill>
                <a:schemeClr val="tx1"/>
              </a:solidFill>
            </a:rPr>
            <a:t> By Product</a:t>
          </a:r>
          <a:endParaRPr lang="en-IN" sz="1600" b="1">
            <a:solidFill>
              <a:schemeClr val="tx1"/>
            </a:solidFill>
          </a:endParaRPr>
        </a:p>
      </xdr:txBody>
    </xdr:sp>
    <xdr:clientData/>
  </xdr:twoCellAnchor>
  <xdr:twoCellAnchor>
    <xdr:from>
      <xdr:col>5</xdr:col>
      <xdr:colOff>67235</xdr:colOff>
      <xdr:row>18</xdr:row>
      <xdr:rowOff>67235</xdr:rowOff>
    </xdr:from>
    <xdr:to>
      <xdr:col>13</xdr:col>
      <xdr:colOff>366059</xdr:colOff>
      <xdr:row>27</xdr:row>
      <xdr:rowOff>82177</xdr:rowOff>
    </xdr:to>
    <xdr:graphicFrame macro="">
      <xdr:nvGraphicFramePr>
        <xdr:cNvPr id="38" name="Chart 3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xdr:col>
      <xdr:colOff>164360</xdr:colOff>
      <xdr:row>14</xdr:row>
      <xdr:rowOff>44824</xdr:rowOff>
    </xdr:from>
    <xdr:to>
      <xdr:col>9</xdr:col>
      <xdr:colOff>44827</xdr:colOff>
      <xdr:row>15</xdr:row>
      <xdr:rowOff>149404</xdr:rowOff>
    </xdr:to>
    <xdr:sp macro="" textlink="'Pivote table'!B43">
      <xdr:nvSpPr>
        <xdr:cNvPr id="40" name="Rectangle 39"/>
        <xdr:cNvSpPr/>
      </xdr:nvSpPr>
      <xdr:spPr>
        <a:xfrm>
          <a:off x="3839889" y="2659530"/>
          <a:ext cx="1718232" cy="29134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3B92DC36-A773-4D60-B3E6-EFD6A9E6285B}" type="TxLink">
            <a:rPr lang="en-US" sz="2000" b="1" i="0" u="none" strike="noStrike">
              <a:solidFill>
                <a:srgbClr val="000000"/>
              </a:solidFill>
              <a:latin typeface="Calibri"/>
              <a:ea typeface="Calibri"/>
              <a:cs typeface="Calibri"/>
            </a:rPr>
            <a:pPr algn="ctr"/>
            <a:t>2,29,192</a:t>
          </a:fld>
          <a:endParaRPr lang="en-IN" sz="3200" b="1">
            <a:solidFill>
              <a:schemeClr val="tx1"/>
            </a:solidFill>
          </a:endParaRPr>
        </a:p>
      </xdr:txBody>
    </xdr:sp>
    <xdr:clientData/>
  </xdr:twoCellAnchor>
  <xdr:twoCellAnchor>
    <xdr:from>
      <xdr:col>10</xdr:col>
      <xdr:colOff>493059</xdr:colOff>
      <xdr:row>14</xdr:row>
      <xdr:rowOff>67228</xdr:rowOff>
    </xdr:from>
    <xdr:to>
      <xdr:col>13</xdr:col>
      <xdr:colOff>254010</xdr:colOff>
      <xdr:row>15</xdr:row>
      <xdr:rowOff>186760</xdr:rowOff>
    </xdr:to>
    <xdr:sp macro="" textlink="'Pivote table'!B47">
      <xdr:nvSpPr>
        <xdr:cNvPr id="45" name="Rectangle 44"/>
        <xdr:cNvSpPr/>
      </xdr:nvSpPr>
      <xdr:spPr>
        <a:xfrm>
          <a:off x="6618941" y="2681934"/>
          <a:ext cx="1598716" cy="306297"/>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B389219B-2734-4D86-991F-0A5A30113682}" type="TxLink">
            <a:rPr lang="en-US" sz="2000" b="1" i="0" u="none" strike="noStrike">
              <a:solidFill>
                <a:srgbClr val="000000"/>
              </a:solidFill>
              <a:latin typeface="Calibri"/>
              <a:ea typeface="Calibri"/>
              <a:cs typeface="Calibri"/>
            </a:rPr>
            <a:pPr algn="ctr"/>
            <a:t>250</a:t>
          </a:fld>
          <a:endParaRPr lang="en-IN" sz="2000" b="1"/>
        </a:p>
      </xdr:txBody>
    </xdr:sp>
    <xdr:clientData/>
  </xdr:twoCellAnchor>
  <xdr:twoCellAnchor>
    <xdr:from>
      <xdr:col>0</xdr:col>
      <xdr:colOff>575235</xdr:colOff>
      <xdr:row>0</xdr:row>
      <xdr:rowOff>104588</xdr:rowOff>
    </xdr:from>
    <xdr:to>
      <xdr:col>1</xdr:col>
      <xdr:colOff>410883</xdr:colOff>
      <xdr:row>9</xdr:row>
      <xdr:rowOff>171824</xdr:rowOff>
    </xdr:to>
    <xdr:sp macro="" textlink="">
      <xdr:nvSpPr>
        <xdr:cNvPr id="21" name="Diamond 20"/>
        <xdr:cNvSpPr/>
      </xdr:nvSpPr>
      <xdr:spPr>
        <a:xfrm>
          <a:off x="575235" y="104588"/>
          <a:ext cx="448236" cy="1748118"/>
        </a:xfrm>
        <a:prstGeom prst="diamond">
          <a:avLst/>
        </a:prstGeom>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530411</xdr:colOff>
      <xdr:row>0</xdr:row>
      <xdr:rowOff>104588</xdr:rowOff>
    </xdr:from>
    <xdr:to>
      <xdr:col>2</xdr:col>
      <xdr:colOff>366059</xdr:colOff>
      <xdr:row>9</xdr:row>
      <xdr:rowOff>171824</xdr:rowOff>
    </xdr:to>
    <xdr:sp macro="" textlink="">
      <xdr:nvSpPr>
        <xdr:cNvPr id="33" name="Diamond 32"/>
        <xdr:cNvSpPr/>
      </xdr:nvSpPr>
      <xdr:spPr>
        <a:xfrm>
          <a:off x="1142999" y="104588"/>
          <a:ext cx="448236" cy="1748118"/>
        </a:xfrm>
        <a:prstGeom prst="diamond">
          <a:avLst/>
        </a:prstGeom>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455706</xdr:colOff>
      <xdr:row>0</xdr:row>
      <xdr:rowOff>119529</xdr:rowOff>
    </xdr:from>
    <xdr:to>
      <xdr:col>3</xdr:col>
      <xdr:colOff>291353</xdr:colOff>
      <xdr:row>10</xdr:row>
      <xdr:rowOff>0</xdr:rowOff>
    </xdr:to>
    <xdr:sp macro="" textlink="">
      <xdr:nvSpPr>
        <xdr:cNvPr id="35" name="Diamond 34"/>
        <xdr:cNvSpPr/>
      </xdr:nvSpPr>
      <xdr:spPr>
        <a:xfrm>
          <a:off x="1680882" y="119529"/>
          <a:ext cx="448236" cy="1748118"/>
        </a:xfrm>
        <a:prstGeom prst="diamond">
          <a:avLst/>
        </a:prstGeom>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395940</xdr:colOff>
      <xdr:row>0</xdr:row>
      <xdr:rowOff>127000</xdr:rowOff>
    </xdr:from>
    <xdr:to>
      <xdr:col>4</xdr:col>
      <xdr:colOff>231588</xdr:colOff>
      <xdr:row>10</xdr:row>
      <xdr:rowOff>7471</xdr:rowOff>
    </xdr:to>
    <xdr:sp macro="" textlink="">
      <xdr:nvSpPr>
        <xdr:cNvPr id="36" name="Diamond 35"/>
        <xdr:cNvSpPr/>
      </xdr:nvSpPr>
      <xdr:spPr>
        <a:xfrm>
          <a:off x="2233705" y="127000"/>
          <a:ext cx="448236" cy="1748118"/>
        </a:xfrm>
        <a:prstGeom prst="diamond">
          <a:avLst/>
        </a:prstGeom>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537883</xdr:colOff>
      <xdr:row>18</xdr:row>
      <xdr:rowOff>119529</xdr:rowOff>
    </xdr:from>
    <xdr:to>
      <xdr:col>2</xdr:col>
      <xdr:colOff>373531</xdr:colOff>
      <xdr:row>28</xdr:row>
      <xdr:rowOff>0</xdr:rowOff>
    </xdr:to>
    <xdr:sp macro="" textlink="">
      <xdr:nvSpPr>
        <xdr:cNvPr id="39" name="Diamond 38"/>
        <xdr:cNvSpPr/>
      </xdr:nvSpPr>
      <xdr:spPr>
        <a:xfrm>
          <a:off x="1150471" y="3481294"/>
          <a:ext cx="448236" cy="1748118"/>
        </a:xfrm>
        <a:prstGeom prst="diamond">
          <a:avLst/>
        </a:prstGeom>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590176</xdr:colOff>
      <xdr:row>18</xdr:row>
      <xdr:rowOff>89647</xdr:rowOff>
    </xdr:from>
    <xdr:to>
      <xdr:col>1</xdr:col>
      <xdr:colOff>425824</xdr:colOff>
      <xdr:row>27</xdr:row>
      <xdr:rowOff>156883</xdr:rowOff>
    </xdr:to>
    <xdr:sp macro="" textlink="">
      <xdr:nvSpPr>
        <xdr:cNvPr id="41" name="Diamond 40"/>
        <xdr:cNvSpPr/>
      </xdr:nvSpPr>
      <xdr:spPr>
        <a:xfrm>
          <a:off x="590176" y="3451412"/>
          <a:ext cx="448236" cy="1748118"/>
        </a:xfrm>
        <a:prstGeom prst="diamond">
          <a:avLst/>
        </a:prstGeom>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455705</xdr:colOff>
      <xdr:row>18</xdr:row>
      <xdr:rowOff>171824</xdr:rowOff>
    </xdr:from>
    <xdr:to>
      <xdr:col>4</xdr:col>
      <xdr:colOff>291353</xdr:colOff>
      <xdr:row>28</xdr:row>
      <xdr:rowOff>52295</xdr:rowOff>
    </xdr:to>
    <xdr:sp macro="" textlink="">
      <xdr:nvSpPr>
        <xdr:cNvPr id="42" name="Diamond 41"/>
        <xdr:cNvSpPr/>
      </xdr:nvSpPr>
      <xdr:spPr>
        <a:xfrm>
          <a:off x="2293470" y="3533589"/>
          <a:ext cx="448236" cy="1748118"/>
        </a:xfrm>
        <a:prstGeom prst="diamond">
          <a:avLst/>
        </a:prstGeom>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478119</xdr:colOff>
      <xdr:row>18</xdr:row>
      <xdr:rowOff>164352</xdr:rowOff>
    </xdr:from>
    <xdr:to>
      <xdr:col>3</xdr:col>
      <xdr:colOff>313766</xdr:colOff>
      <xdr:row>28</xdr:row>
      <xdr:rowOff>44823</xdr:rowOff>
    </xdr:to>
    <xdr:sp macro="" textlink="">
      <xdr:nvSpPr>
        <xdr:cNvPr id="43" name="Diamond 42"/>
        <xdr:cNvSpPr/>
      </xdr:nvSpPr>
      <xdr:spPr>
        <a:xfrm>
          <a:off x="1703295" y="3526117"/>
          <a:ext cx="448236" cy="1748118"/>
        </a:xfrm>
        <a:prstGeom prst="diamond">
          <a:avLst/>
        </a:prstGeom>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N"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OnLoad="1" refreshedBy="Admin" refreshedDate="46077.095092129632" createdVersion="6" refreshedVersion="6" minRefreshableVersion="3" recordCount="250">
  <cacheSource type="worksheet">
    <worksheetSource ref="A1:N251" sheet="Main Data"/>
  </cacheSource>
  <cacheFields count="16">
    <cacheField name="Transaction_ID" numFmtId="0">
      <sharedItems/>
    </cacheField>
    <cacheField name="Date" numFmtId="14">
      <sharedItems containsSemiMixedTypes="0" containsNonDate="0" containsDate="1" containsString="0" minDate="2024-04-11T00:00:00" maxDate="2025-04-12T00:00:00" count="162">
        <d v="2024-04-11T00:00:00"/>
        <d v="2024-04-14T00:00:00"/>
        <d v="2024-04-17T00:00:00"/>
        <d v="2024-04-18T00:00:00"/>
        <d v="2024-04-21T00:00:00"/>
        <d v="2024-04-23T00:00:00"/>
        <d v="2024-04-26T00:00:00"/>
        <d v="2024-04-27T00:00:00"/>
        <d v="2024-04-28T00:00:00"/>
        <d v="2024-04-30T00:00:00"/>
        <d v="2024-05-01T00:00:00"/>
        <d v="2024-05-03T00:00:00"/>
        <d v="2024-05-04T00:00:00"/>
        <d v="2024-05-10T00:00:00"/>
        <d v="2024-05-12T00:00:00"/>
        <d v="2024-05-13T00:00:00"/>
        <d v="2024-05-15T00:00:00"/>
        <d v="2024-05-16T00:00:00"/>
        <d v="2024-05-18T00:00:00"/>
        <d v="2024-05-20T00:00:00"/>
        <d v="2024-05-22T00:00:00"/>
        <d v="2024-05-23T00:00:00"/>
        <d v="2024-05-26T00:00:00"/>
        <d v="2024-05-28T00:00:00"/>
        <d v="2024-05-29T00:00:00"/>
        <d v="2024-05-31T00:00:00"/>
        <d v="2024-06-01T00:00:00"/>
        <d v="2024-06-03T00:00:00"/>
        <d v="2024-06-06T00:00:00"/>
        <d v="2024-06-07T00:00:00"/>
        <d v="2024-06-09T00:00:00"/>
        <d v="2024-06-13T00:00:00"/>
        <d v="2024-06-16T00:00:00"/>
        <d v="2024-06-17T00:00:00"/>
        <d v="2024-06-25T00:00:00"/>
        <d v="2024-06-26T00:00:00"/>
        <d v="2024-06-28T00:00:00"/>
        <d v="2024-06-29T00:00:00"/>
        <d v="2024-07-01T00:00:00"/>
        <d v="2024-07-02T00:00:00"/>
        <d v="2024-07-03T00:00:00"/>
        <d v="2024-07-08T00:00:00"/>
        <d v="2024-07-09T00:00:00"/>
        <d v="2024-07-11T00:00:00"/>
        <d v="2024-07-14T00:00:00"/>
        <d v="2024-07-17T00:00:00"/>
        <d v="2024-07-18T00:00:00"/>
        <d v="2024-07-23T00:00:00"/>
        <d v="2024-07-24T00:00:00"/>
        <d v="2024-07-25T00:00:00"/>
        <d v="2024-07-27T00:00:00"/>
        <d v="2024-07-28T00:00:00"/>
        <d v="2024-07-30T00:00:00"/>
        <d v="2024-07-31T00:00:00"/>
        <d v="2024-08-05T00:00:00"/>
        <d v="2024-08-06T00:00:00"/>
        <d v="2024-08-09T00:00:00"/>
        <d v="2024-08-11T00:00:00"/>
        <d v="2024-08-13T00:00:00"/>
        <d v="2024-08-15T00:00:00"/>
        <d v="2024-08-18T00:00:00"/>
        <d v="2024-08-19T00:00:00"/>
        <d v="2024-08-22T00:00:00"/>
        <d v="2024-08-24T00:00:00"/>
        <d v="2024-08-28T00:00:00"/>
        <d v="2024-08-30T00:00:00"/>
        <d v="2024-09-02T00:00:00"/>
        <d v="2024-09-03T00:00:00"/>
        <d v="2024-09-06T00:00:00"/>
        <d v="2024-09-09T00:00:00"/>
        <d v="2024-09-10T00:00:00"/>
        <d v="2024-09-12T00:00:00"/>
        <d v="2024-09-13T00:00:00"/>
        <d v="2024-09-15T00:00:00"/>
        <d v="2024-09-16T00:00:00"/>
        <d v="2024-09-19T00:00:00"/>
        <d v="2024-09-24T00:00:00"/>
        <d v="2024-09-25T00:00:00"/>
        <d v="2024-09-28T00:00:00"/>
        <d v="2024-09-29T00:00:00"/>
        <d v="2024-10-01T00:00:00"/>
        <d v="2024-10-07T00:00:00"/>
        <d v="2024-10-08T00:00:00"/>
        <d v="2024-10-11T00:00:00"/>
        <d v="2024-10-14T00:00:00"/>
        <d v="2024-10-16T00:00:00"/>
        <d v="2024-10-18T00:00:00"/>
        <d v="2024-10-21T00:00:00"/>
        <d v="2024-10-23T00:00:00"/>
        <d v="2024-10-24T00:00:00"/>
        <d v="2024-10-27T00:00:00"/>
        <d v="2024-11-01T00:00:00"/>
        <d v="2024-11-04T00:00:00"/>
        <d v="2024-11-07T00:00:00"/>
        <d v="2024-11-08T00:00:00"/>
        <d v="2024-11-09T00:00:00"/>
        <d v="2024-11-11T00:00:00"/>
        <d v="2024-11-12T00:00:00"/>
        <d v="2024-11-17T00:00:00"/>
        <d v="2024-11-21T00:00:00"/>
        <d v="2024-11-23T00:00:00"/>
        <d v="2024-11-26T00:00:00"/>
        <d v="2024-11-27T00:00:00"/>
        <d v="2024-12-01T00:00:00"/>
        <d v="2024-12-03T00:00:00"/>
        <d v="2024-12-04T00:00:00"/>
        <d v="2024-12-09T00:00:00"/>
        <d v="2024-12-10T00:00:00"/>
        <d v="2024-12-12T00:00:00"/>
        <d v="2024-12-15T00:00:00"/>
        <d v="2024-12-18T00:00:00"/>
        <d v="2024-12-19T00:00:00"/>
        <d v="2024-12-20T00:00:00"/>
        <d v="2024-12-22T00:00:00"/>
        <d v="2024-12-23T00:00:00"/>
        <d v="2024-12-28T00:00:00"/>
        <d v="2024-12-29T00:00:00"/>
        <d v="2024-12-31T00:00:00"/>
        <d v="2025-01-03T00:00:00"/>
        <d v="2025-01-04T00:00:00"/>
        <d v="2025-01-06T00:00:00"/>
        <d v="2025-01-09T00:00:00"/>
        <d v="2025-01-10T00:00:00"/>
        <d v="2025-01-11T00:00:00"/>
        <d v="2025-01-13T00:00:00"/>
        <d v="2025-01-14T00:00:00"/>
        <d v="2025-01-16T00:00:00"/>
        <d v="2025-01-19T00:00:00"/>
        <d v="2025-01-25T00:00:00"/>
        <d v="2025-01-26T00:00:00"/>
        <d v="2025-01-29T00:00:00"/>
        <d v="2025-01-31T00:00:00"/>
        <d v="2025-02-04T00:00:00"/>
        <d v="2025-02-07T00:00:00"/>
        <d v="2025-02-08T00:00:00"/>
        <d v="2025-02-13T00:00:00"/>
        <d v="2025-02-16T00:00:00"/>
        <d v="2025-02-17T00:00:00"/>
        <d v="2025-02-19T00:00:00"/>
        <d v="2025-02-20T00:00:00"/>
        <d v="2025-02-22T00:00:00"/>
        <d v="2025-02-23T00:00:00"/>
        <d v="2025-02-24T00:00:00"/>
        <d v="2025-02-27T00:00:00"/>
        <d v="2025-03-02T00:00:00"/>
        <d v="2025-03-04T00:00:00"/>
        <d v="2025-03-05T00:00:00"/>
        <d v="2025-03-07T00:00:00"/>
        <d v="2025-03-08T00:00:00"/>
        <d v="2025-03-10T00:00:00"/>
        <d v="2025-03-18T00:00:00"/>
        <d v="2025-03-21T00:00:00"/>
        <d v="2025-03-23T00:00:00"/>
        <d v="2025-03-24T00:00:00"/>
        <d v="2025-03-27T00:00:00"/>
        <d v="2025-03-29T00:00:00"/>
        <d v="2025-03-30T00:00:00"/>
        <d v="2025-04-01T00:00:00"/>
        <d v="2025-04-02T00:00:00"/>
        <d v="2025-04-08T00:00:00"/>
        <d v="2025-04-09T00:00:00"/>
        <d v="2025-04-11T00:00:00"/>
      </sharedItems>
      <fieldGroup par="15" base="1">
        <rangePr groupBy="months" startDate="2024-04-11T00:00:00" endDate="2025-04-12T00:00:00"/>
        <groupItems count="14">
          <s v="&lt;11-04-2024"/>
          <s v="Jan"/>
          <s v="Feb"/>
          <s v="Mar"/>
          <s v="Apr"/>
          <s v="May"/>
          <s v="Jun"/>
          <s v="Jul"/>
          <s v="Aug"/>
          <s v="Sep"/>
          <s v="Oct"/>
          <s v="Nov"/>
          <s v="Dec"/>
          <s v="&gt;12-04-2025"/>
        </groupItems>
      </fieldGroup>
    </cacheField>
    <cacheField name="Customer_ID" numFmtId="0">
      <sharedItems/>
    </cacheField>
    <cacheField name="Customer_Name" numFmtId="0">
      <sharedItems/>
    </cacheField>
    <cacheField name="Product_ID" numFmtId="0">
      <sharedItems/>
    </cacheField>
    <cacheField name="Product_Name" numFmtId="0">
      <sharedItems count="10">
        <s v="Monitor"/>
        <s v="Blender"/>
        <s v="Bookshelf"/>
        <s v="Headphones"/>
        <s v="Laptop"/>
        <s v="Smartphone"/>
        <s v="Desk"/>
        <s v="Coffee Maker"/>
        <s v="Keyboard"/>
        <s v="Office Chair"/>
      </sharedItems>
    </cacheField>
    <cacheField name="Category" numFmtId="0">
      <sharedItems/>
    </cacheField>
    <cacheField name="Quantity" numFmtId="0">
      <sharedItems containsSemiMixedTypes="0" containsString="0" containsNumber="1" containsInteger="1" minValue="1" maxValue="5"/>
    </cacheField>
    <cacheField name="Unit_Price" numFmtId="0">
      <sharedItems containsSemiMixedTypes="0" containsString="0" containsNumber="1" minValue="59.99" maxValue="899.99"/>
    </cacheField>
    <cacheField name="Payment_Method" numFmtId="0">
      <sharedItems/>
    </cacheField>
    <cacheField name="Region" numFmtId="0">
      <sharedItems count="5">
        <s v="Central"/>
        <s v="South"/>
        <s v="North"/>
        <s v="West"/>
        <s v="East"/>
      </sharedItems>
    </cacheField>
    <cacheField name="Customer_Segment" numFmtId="0">
      <sharedItems/>
    </cacheField>
    <cacheField name="Customer_Since" numFmtId="14">
      <sharedItems containsSemiMixedTypes="0" containsNonDate="0" containsDate="1" containsString="0" minDate="2021-07-18T00:00:00" maxDate="2024-04-12T00:00:00"/>
    </cacheField>
    <cacheField name="Total_Amount" numFmtId="0">
      <sharedItems containsSemiMixedTypes="0" containsString="0" containsNumber="1" minValue="59.99" maxValue="4499.95"/>
    </cacheField>
    <cacheField name="Quarters" numFmtId="0" databaseField="0">
      <fieldGroup base="1">
        <rangePr groupBy="quarters" startDate="2024-04-11T00:00:00" endDate="2025-04-12T00:00:00"/>
        <groupItems count="6">
          <s v="&lt;11-04-2024"/>
          <s v="Qtr1"/>
          <s v="Qtr2"/>
          <s v="Qtr3"/>
          <s v="Qtr4"/>
          <s v="&gt;12-04-2025"/>
        </groupItems>
      </fieldGroup>
    </cacheField>
    <cacheField name="Years" numFmtId="0" databaseField="0">
      <fieldGroup base="1">
        <rangePr groupBy="years" startDate="2024-04-11T00:00:00" endDate="2025-04-12T00:00:00"/>
        <groupItems count="4">
          <s v="&lt;11-04-2024"/>
          <s v="2024"/>
          <s v="2025"/>
          <s v="&gt;12-04-2025"/>
        </groupItems>
      </fieldGroup>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250">
  <r>
    <s v="TRX01"/>
    <x v="0"/>
    <s v="CUST01"/>
    <s v="Paul Baker"/>
    <s v="P001"/>
    <x v="0"/>
    <s v="Electronics"/>
    <n v="3"/>
    <n v="249.99"/>
    <s v="Cash"/>
    <x v="0"/>
    <s v="Basic"/>
    <d v="2021-08-17T00:00:00"/>
    <n v="749.97"/>
  </r>
  <r>
    <s v="TRX02"/>
    <x v="1"/>
    <s v="CUST02"/>
    <s v="Joseph Jackson"/>
    <s v="P002"/>
    <x v="0"/>
    <s v="Electronics"/>
    <n v="3"/>
    <n v="249.99"/>
    <s v="Credit Card"/>
    <x v="0"/>
    <s v="Premium"/>
    <d v="2022-01-14T00:00:00"/>
    <n v="749.97"/>
  </r>
  <r>
    <s v="TRX03"/>
    <x v="2"/>
    <s v="CUST03"/>
    <s v="Kevin Scott"/>
    <s v="P003"/>
    <x v="1"/>
    <s v="Appliances"/>
    <n v="3"/>
    <n v="59.99"/>
    <s v="PayPal"/>
    <x v="1"/>
    <s v="Standard"/>
    <d v="2023-12-02T00:00:00"/>
    <n v="179.97"/>
  </r>
  <r>
    <s v="TRX04"/>
    <x v="3"/>
    <s v="CUST04"/>
    <s v="Kathleen Bennett"/>
    <s v="P004"/>
    <x v="1"/>
    <s v="Appliances"/>
    <n v="3"/>
    <n v="59.99"/>
    <s v="Cash"/>
    <x v="2"/>
    <s v="Premium"/>
    <d v="2023-07-07T00:00:00"/>
    <n v="179.97"/>
  </r>
  <r>
    <s v="TRX05"/>
    <x v="3"/>
    <s v="CUST05"/>
    <s v="Michael Brown"/>
    <s v="P005"/>
    <x v="2"/>
    <s v="Furniture"/>
    <n v="5"/>
    <n v="149.99"/>
    <s v="Credit Card"/>
    <x v="2"/>
    <s v="Premium"/>
    <d v="2024-01-04T00:00:00"/>
    <n v="749.95"/>
  </r>
  <r>
    <s v="TRX06"/>
    <x v="4"/>
    <s v="CUST06"/>
    <s v="Dorothy Nelson"/>
    <s v="P006"/>
    <x v="1"/>
    <s v="Appliances"/>
    <n v="2"/>
    <n v="59.99"/>
    <s v="Cash"/>
    <x v="3"/>
    <s v="Standard"/>
    <d v="2022-07-04T00:00:00"/>
    <n v="119.98"/>
  </r>
  <r>
    <s v="TRX07"/>
    <x v="4"/>
    <s v="CUST07"/>
    <s v="Dorothy Nelson"/>
    <s v="P007"/>
    <x v="3"/>
    <s v="Electronics"/>
    <n v="5"/>
    <n v="149.99"/>
    <s v="Credit Card"/>
    <x v="0"/>
    <s v="Standard"/>
    <d v="2021-08-10T00:00:00"/>
    <n v="749.95"/>
  </r>
  <r>
    <s v="TRX08"/>
    <x v="4"/>
    <s v="CUST08"/>
    <s v="Charles Allen"/>
    <s v="P008"/>
    <x v="1"/>
    <s v="Appliances"/>
    <n v="3"/>
    <n v="59.99"/>
    <s v="Debit Card"/>
    <x v="1"/>
    <s v="Basic"/>
    <d v="2023-03-22T00:00:00"/>
    <n v="179.97"/>
  </r>
  <r>
    <s v="TRX09"/>
    <x v="5"/>
    <s v="CUST09"/>
    <s v="Robert Thomas"/>
    <s v="P009"/>
    <x v="4"/>
    <s v="Electronics"/>
    <n v="3"/>
    <n v="899.99"/>
    <s v="PayPal"/>
    <x v="4"/>
    <s v="Standard"/>
    <d v="2024-01-08T00:00:00"/>
    <n v="2699.97"/>
  </r>
  <r>
    <s v="TRX10"/>
    <x v="6"/>
    <s v="CUST10"/>
    <s v="Karen Hill"/>
    <s v="P010"/>
    <x v="1"/>
    <s v="Appliances"/>
    <n v="3"/>
    <n v="59.99"/>
    <s v="Cash"/>
    <x v="3"/>
    <s v="Premium"/>
    <d v="2023-10-08T00:00:00"/>
    <n v="179.97"/>
  </r>
  <r>
    <s v="TRX11"/>
    <x v="6"/>
    <s v="CUST11"/>
    <s v="Susan Green"/>
    <s v="P011"/>
    <x v="2"/>
    <s v="Furniture"/>
    <n v="1"/>
    <n v="149.99"/>
    <s v="Credit Card"/>
    <x v="3"/>
    <s v="Standard"/>
    <d v="2023-06-26T00:00:00"/>
    <n v="149.99"/>
  </r>
  <r>
    <s v="TRX12"/>
    <x v="6"/>
    <s v="CUST12"/>
    <s v="Kathleen Bennett"/>
    <s v="P012"/>
    <x v="2"/>
    <s v="Furniture"/>
    <n v="5"/>
    <n v="149.99"/>
    <s v="Debit Card"/>
    <x v="2"/>
    <s v="Basic"/>
    <d v="2022-09-26T00:00:00"/>
    <n v="749.95"/>
  </r>
  <r>
    <s v="TRX13"/>
    <x v="6"/>
    <s v="CUST13"/>
    <s v="Peter Richardson"/>
    <s v="P013"/>
    <x v="2"/>
    <s v="Furniture"/>
    <n v="3"/>
    <n v="149.99"/>
    <s v="Cash"/>
    <x v="2"/>
    <s v="Premium"/>
    <d v="2022-09-02T00:00:00"/>
    <n v="449.97"/>
  </r>
  <r>
    <s v="TRX14"/>
    <x v="7"/>
    <s v="CUST14"/>
    <s v="Dennis Gray"/>
    <s v="P014"/>
    <x v="1"/>
    <s v="Appliances"/>
    <n v="3"/>
    <n v="59.99"/>
    <s v="Credit Card"/>
    <x v="2"/>
    <s v="Standard"/>
    <d v="2024-02-29T00:00:00"/>
    <n v="179.97"/>
  </r>
  <r>
    <s v="TRX15"/>
    <x v="7"/>
    <s v="CUST15"/>
    <s v="Michelle Rogers"/>
    <s v="P015"/>
    <x v="5"/>
    <s v="Electronics"/>
    <n v="3"/>
    <n v="699.99"/>
    <s v="Credit Card"/>
    <x v="3"/>
    <s v="Basic"/>
    <d v="2022-01-16T00:00:00"/>
    <n v="2099.9699999999998"/>
  </r>
  <r>
    <s v="TRX16"/>
    <x v="7"/>
    <s v="CUST16"/>
    <s v="George Adams"/>
    <s v="P016"/>
    <x v="4"/>
    <s v="Electronics"/>
    <n v="1"/>
    <n v="899.99"/>
    <s v="Debit Card"/>
    <x v="2"/>
    <s v="Standard"/>
    <d v="2022-12-25T00:00:00"/>
    <n v="899.99"/>
  </r>
  <r>
    <s v="TRX17"/>
    <x v="8"/>
    <s v="CUST17"/>
    <s v="Mark Carter"/>
    <s v="P017"/>
    <x v="2"/>
    <s v="Furniture"/>
    <n v="4"/>
    <n v="149.99"/>
    <s v="Debit Card"/>
    <x v="2"/>
    <s v="Premium"/>
    <d v="2024-03-23T00:00:00"/>
    <n v="599.96"/>
  </r>
  <r>
    <s v="TRX18"/>
    <x v="8"/>
    <s v="CUST18"/>
    <s v="Maria Garcia"/>
    <s v="P018"/>
    <x v="5"/>
    <s v="Electronics"/>
    <n v="2"/>
    <n v="699.99"/>
    <s v="Cash"/>
    <x v="2"/>
    <s v="Basic"/>
    <d v="2022-08-08T00:00:00"/>
    <n v="1399.98"/>
  </r>
  <r>
    <s v="TRX19"/>
    <x v="8"/>
    <s v="CUST19"/>
    <s v="Mark Carter"/>
    <s v="P019"/>
    <x v="4"/>
    <s v="Electronics"/>
    <n v="4"/>
    <n v="899.99"/>
    <s v="Credit Card"/>
    <x v="3"/>
    <s v="Standard"/>
    <d v="2024-02-05T00:00:00"/>
    <n v="3599.96"/>
  </r>
  <r>
    <s v="TRX20"/>
    <x v="8"/>
    <s v="CUST20"/>
    <s v="Virginia Sanders"/>
    <s v="P020"/>
    <x v="0"/>
    <s v="Electronics"/>
    <n v="3"/>
    <n v="249.99"/>
    <s v="Credit Card"/>
    <x v="2"/>
    <s v="Premium"/>
    <d v="2023-10-25T00:00:00"/>
    <n v="749.97"/>
  </r>
  <r>
    <s v="TRX21"/>
    <x v="9"/>
    <s v="CUST21"/>
    <s v="Barbara Young"/>
    <s v="P021"/>
    <x v="5"/>
    <s v="Electronics"/>
    <n v="5"/>
    <n v="699.99"/>
    <s v="Cash"/>
    <x v="3"/>
    <s v="Basic"/>
    <d v="2023-08-29T00:00:00"/>
    <n v="3499.95"/>
  </r>
  <r>
    <s v="TRX22"/>
    <x v="10"/>
    <s v="CUST22"/>
    <s v="Patricia Moore"/>
    <s v="P022"/>
    <x v="5"/>
    <s v="Electronics"/>
    <n v="4"/>
    <n v="699.99"/>
    <s v="Cash"/>
    <x v="4"/>
    <s v="Standard"/>
    <d v="2021-08-01T00:00:00"/>
    <n v="2799.96"/>
  </r>
  <r>
    <s v="TRX23"/>
    <x v="11"/>
    <s v="CUST23"/>
    <s v="Cynthia Price"/>
    <s v="P023"/>
    <x v="0"/>
    <s v="Electronics"/>
    <n v="4"/>
    <n v="249.99"/>
    <s v="PayPal"/>
    <x v="2"/>
    <s v="Standard"/>
    <d v="2021-09-29T00:00:00"/>
    <n v="999.96"/>
  </r>
  <r>
    <s v="TRX24"/>
    <x v="12"/>
    <s v="CUST24"/>
    <s v="Mark Carter"/>
    <s v="P024"/>
    <x v="6"/>
    <s v="Furniture"/>
    <n v="4"/>
    <n v="299.99"/>
    <s v="Cash"/>
    <x v="3"/>
    <s v="Premium"/>
    <d v="2022-06-04T00:00:00"/>
    <n v="1199.96"/>
  </r>
  <r>
    <s v="TRX25"/>
    <x v="13"/>
    <s v="CUST25"/>
    <s v="Nancy Collins"/>
    <s v="P025"/>
    <x v="0"/>
    <s v="Electronics"/>
    <n v="5"/>
    <n v="249.99"/>
    <s v="Credit Card"/>
    <x v="3"/>
    <s v="Standard"/>
    <d v="2021-11-25T00:00:00"/>
    <n v="1249.95"/>
  </r>
  <r>
    <s v="TRX26"/>
    <x v="14"/>
    <s v="CUST26"/>
    <s v="Susan Green"/>
    <s v="P026"/>
    <x v="6"/>
    <s v="Furniture"/>
    <n v="5"/>
    <n v="299.99"/>
    <s v="PayPal"/>
    <x v="4"/>
    <s v="Basic"/>
    <d v="2023-08-30T00:00:00"/>
    <n v="1499.95"/>
  </r>
  <r>
    <s v="TRX27"/>
    <x v="14"/>
    <s v="CUST27"/>
    <s v="Linda Martin"/>
    <s v="P027"/>
    <x v="7"/>
    <s v="Appliances"/>
    <n v="3"/>
    <n v="79.989999999999995"/>
    <s v="PayPal"/>
    <x v="4"/>
    <s v="Premium"/>
    <d v="2023-03-27T00:00:00"/>
    <n v="239.97"/>
  </r>
  <r>
    <s v="TRX28"/>
    <x v="14"/>
    <s v="CUST28"/>
    <s v="Patricia Moore"/>
    <s v="P028"/>
    <x v="8"/>
    <s v="Electronics"/>
    <n v="5"/>
    <n v="89.99"/>
    <s v="Cash"/>
    <x v="2"/>
    <s v="Premium"/>
    <d v="2022-12-24T00:00:00"/>
    <n v="449.95"/>
  </r>
  <r>
    <s v="TRX29"/>
    <x v="15"/>
    <s v="CUST29"/>
    <s v="Helen Roberts"/>
    <s v="P029"/>
    <x v="1"/>
    <s v="Appliances"/>
    <n v="2"/>
    <n v="59.99"/>
    <s v="Debit Card"/>
    <x v="0"/>
    <s v="Standard"/>
    <d v="2023-10-15T00:00:00"/>
    <n v="119.98"/>
  </r>
  <r>
    <s v="TRX30"/>
    <x v="16"/>
    <s v="CUST30"/>
    <s v="Edward Mitchell"/>
    <s v="P030"/>
    <x v="1"/>
    <s v="Appliances"/>
    <n v="4"/>
    <n v="59.99"/>
    <s v="Debit Card"/>
    <x v="4"/>
    <s v="Standard"/>
    <d v="2022-11-02T00:00:00"/>
    <n v="239.96"/>
  </r>
  <r>
    <s v="TRX31"/>
    <x v="16"/>
    <s v="CUST31"/>
    <s v="Charles Allen"/>
    <s v="P031"/>
    <x v="9"/>
    <s v="Furniture"/>
    <n v="5"/>
    <n v="199.99"/>
    <s v="Cash"/>
    <x v="1"/>
    <s v="Standard"/>
    <d v="2021-08-04T00:00:00"/>
    <n v="999.95"/>
  </r>
  <r>
    <s v="TRX32"/>
    <x v="17"/>
    <s v="CUST32"/>
    <s v="Lisa Anderson"/>
    <s v="P032"/>
    <x v="2"/>
    <s v="Furniture"/>
    <n v="2"/>
    <n v="149.99"/>
    <s v="Credit Card"/>
    <x v="3"/>
    <s v="Basic"/>
    <d v="2022-09-19T00:00:00"/>
    <n v="299.98"/>
  </r>
  <r>
    <s v="TRX33"/>
    <x v="18"/>
    <s v="CUST33"/>
    <s v="Emma Wilson"/>
    <s v="P033"/>
    <x v="2"/>
    <s v="Furniture"/>
    <n v="3"/>
    <n v="149.99"/>
    <s v="Credit Card"/>
    <x v="3"/>
    <s v="Premium"/>
    <d v="2023-05-22T00:00:00"/>
    <n v="449.97"/>
  </r>
  <r>
    <s v="TRX34"/>
    <x v="19"/>
    <s v="CUST34"/>
    <s v="Kevin Scott"/>
    <s v="P034"/>
    <x v="4"/>
    <s v="Electronics"/>
    <n v="1"/>
    <n v="899.99"/>
    <s v="Credit Card"/>
    <x v="3"/>
    <s v="Premium"/>
    <d v="2022-01-17T00:00:00"/>
    <n v="899.99"/>
  </r>
  <r>
    <s v="TRX35"/>
    <x v="20"/>
    <s v="CUST35"/>
    <s v="Patricia Moore"/>
    <s v="P035"/>
    <x v="6"/>
    <s v="Furniture"/>
    <n v="3"/>
    <n v="299.99"/>
    <s v="Credit Card"/>
    <x v="4"/>
    <s v="Basic"/>
    <d v="2022-09-20T00:00:00"/>
    <n v="899.97"/>
  </r>
  <r>
    <s v="TRX36"/>
    <x v="21"/>
    <s v="CUST36"/>
    <s v="Lisa Anderson"/>
    <s v="P036"/>
    <x v="7"/>
    <s v="Appliances"/>
    <n v="3"/>
    <n v="79.989999999999995"/>
    <s v="Cash"/>
    <x v="1"/>
    <s v="Basic"/>
    <d v="2023-04-30T00:00:00"/>
    <n v="239.97"/>
  </r>
  <r>
    <s v="TRX37"/>
    <x v="22"/>
    <s v="CUST37"/>
    <s v="Steven Turner"/>
    <s v="P037"/>
    <x v="9"/>
    <s v="Furniture"/>
    <n v="3"/>
    <n v="199.99"/>
    <s v="Credit Card"/>
    <x v="2"/>
    <s v="Premium"/>
    <d v="2024-01-01T00:00:00"/>
    <n v="599.97"/>
  </r>
  <r>
    <s v="TRX38"/>
    <x v="23"/>
    <s v="CUST38"/>
    <s v="Jennifer Taylor"/>
    <s v="P038"/>
    <x v="5"/>
    <s v="Electronics"/>
    <n v="5"/>
    <n v="699.99"/>
    <s v="PayPal"/>
    <x v="3"/>
    <s v="Standard"/>
    <d v="2021-07-30T00:00:00"/>
    <n v="3499.95"/>
  </r>
  <r>
    <s v="TRX39"/>
    <x v="24"/>
    <s v="CUST39"/>
    <s v="Harry Morgan"/>
    <s v="P039"/>
    <x v="8"/>
    <s v="Electronics"/>
    <n v="3"/>
    <n v="89.99"/>
    <s v="PayPal"/>
    <x v="0"/>
    <s v="Premium"/>
    <d v="2023-07-13T00:00:00"/>
    <n v="269.97000000000003"/>
  </r>
  <r>
    <s v="TRX40"/>
    <x v="25"/>
    <s v="CUST40"/>
    <s v="Daniel King"/>
    <s v="P040"/>
    <x v="7"/>
    <s v="Appliances"/>
    <n v="1"/>
    <n v="79.989999999999995"/>
    <s v="Cash"/>
    <x v="2"/>
    <s v="Standard"/>
    <d v="2022-12-22T00:00:00"/>
    <n v="79.989999999999995"/>
  </r>
  <r>
    <s v="TRX41"/>
    <x v="26"/>
    <s v="CUST41"/>
    <s v="Sharon Butler"/>
    <s v="P041"/>
    <x v="1"/>
    <s v="Appliances"/>
    <n v="2"/>
    <n v="59.99"/>
    <s v="Cash"/>
    <x v="3"/>
    <s v="Basic"/>
    <d v="2024-04-08T00:00:00"/>
    <n v="119.98"/>
  </r>
  <r>
    <s v="TRX42"/>
    <x v="26"/>
    <s v="CUST42"/>
    <s v="Charles Allen"/>
    <s v="P042"/>
    <x v="8"/>
    <s v="Electronics"/>
    <n v="1"/>
    <n v="89.99"/>
    <s v="Cash"/>
    <x v="2"/>
    <s v="Basic"/>
    <d v="2023-08-03T00:00:00"/>
    <n v="89.99"/>
  </r>
  <r>
    <s v="TRX43"/>
    <x v="27"/>
    <s v="CUST43"/>
    <s v="Sarah Davis"/>
    <s v="P043"/>
    <x v="8"/>
    <s v="Electronics"/>
    <n v="5"/>
    <n v="89.99"/>
    <s v="Credit Card"/>
    <x v="4"/>
    <s v="Standard"/>
    <d v="2022-01-26T00:00:00"/>
    <n v="449.95"/>
  </r>
  <r>
    <s v="TRX44"/>
    <x v="28"/>
    <s v="CUST44"/>
    <s v="Joseph Jackson"/>
    <s v="P044"/>
    <x v="0"/>
    <s v="Electronics"/>
    <n v="5"/>
    <n v="249.99"/>
    <s v="Credit Card"/>
    <x v="4"/>
    <s v="Standard"/>
    <d v="2022-05-26T00:00:00"/>
    <n v="1249.95"/>
  </r>
  <r>
    <s v="TRX45"/>
    <x v="28"/>
    <s v="CUST45"/>
    <s v="Betty Campbell"/>
    <s v="P045"/>
    <x v="8"/>
    <s v="Electronics"/>
    <n v="1"/>
    <n v="89.99"/>
    <s v="Credit Card"/>
    <x v="1"/>
    <s v="Standard"/>
    <d v="2022-01-21T00:00:00"/>
    <n v="89.99"/>
  </r>
  <r>
    <s v="TRX46"/>
    <x v="29"/>
    <s v="CUST46"/>
    <s v="Michael Brown"/>
    <s v="P046"/>
    <x v="2"/>
    <s v="Furniture"/>
    <n v="2"/>
    <n v="149.99"/>
    <s v="Cash"/>
    <x v="4"/>
    <s v="Premium"/>
    <d v="2022-03-25T00:00:00"/>
    <n v="299.98"/>
  </r>
  <r>
    <s v="TRX47"/>
    <x v="30"/>
    <s v="CUST47"/>
    <s v="Julie Foster"/>
    <s v="P047"/>
    <x v="1"/>
    <s v="Appliances"/>
    <n v="4"/>
    <n v="59.99"/>
    <s v="Cash"/>
    <x v="4"/>
    <s v="Standard"/>
    <d v="2021-08-27T00:00:00"/>
    <n v="239.96"/>
  </r>
  <r>
    <s v="TRX48"/>
    <x v="31"/>
    <s v="CUST48"/>
    <s v="Lisa Anderson"/>
    <s v="P048"/>
    <x v="8"/>
    <s v="Electronics"/>
    <n v="5"/>
    <n v="89.99"/>
    <s v="Cash"/>
    <x v="0"/>
    <s v="Premium"/>
    <d v="2022-01-18T00:00:00"/>
    <n v="449.95"/>
  </r>
  <r>
    <s v="TRX49"/>
    <x v="32"/>
    <s v="CUST49"/>
    <s v="Patricia Moore"/>
    <s v="P049"/>
    <x v="8"/>
    <s v="Electronics"/>
    <n v="2"/>
    <n v="89.99"/>
    <s v="Credit Card"/>
    <x v="1"/>
    <s v="Premium"/>
    <d v="2021-10-02T00:00:00"/>
    <n v="179.98"/>
  </r>
  <r>
    <s v="TRX50"/>
    <x v="32"/>
    <s v="CUST50"/>
    <s v="Paul Baker"/>
    <s v="P050"/>
    <x v="4"/>
    <s v="Electronics"/>
    <n v="5"/>
    <n v="899.99"/>
    <s v="Credit Card"/>
    <x v="1"/>
    <s v="Standard"/>
    <d v="2023-02-17T00:00:00"/>
    <n v="4499.95"/>
  </r>
  <r>
    <s v="TRX51"/>
    <x v="32"/>
    <s v="CUST51"/>
    <s v="Edward Mitchell"/>
    <s v="P051"/>
    <x v="4"/>
    <s v="Electronics"/>
    <n v="5"/>
    <n v="899.99"/>
    <s v="PayPal"/>
    <x v="4"/>
    <s v="Premium"/>
    <d v="2023-12-18T00:00:00"/>
    <n v="4499.95"/>
  </r>
  <r>
    <s v="TRX52"/>
    <x v="33"/>
    <s v="CUST52"/>
    <s v="Betty Campbell"/>
    <s v="P052"/>
    <x v="1"/>
    <s v="Appliances"/>
    <n v="1"/>
    <n v="59.99"/>
    <s v="Debit Card"/>
    <x v="3"/>
    <s v="Premium"/>
    <d v="2023-09-21T00:00:00"/>
    <n v="59.99"/>
  </r>
  <r>
    <s v="TRX53"/>
    <x v="33"/>
    <s v="CUST53"/>
    <s v="Jennifer Taylor"/>
    <s v="P053"/>
    <x v="6"/>
    <s v="Furniture"/>
    <n v="2"/>
    <n v="299.99"/>
    <s v="Debit Card"/>
    <x v="4"/>
    <s v="Standard"/>
    <d v="2023-11-23T00:00:00"/>
    <n v="599.98"/>
  </r>
  <r>
    <s v="TRX54"/>
    <x v="34"/>
    <s v="CUST54"/>
    <s v="Raymond Ross"/>
    <s v="P054"/>
    <x v="8"/>
    <s v="Electronics"/>
    <n v="4"/>
    <n v="89.99"/>
    <s v="Debit Card"/>
    <x v="1"/>
    <s v="Basic"/>
    <d v="2023-12-21T00:00:00"/>
    <n v="359.96"/>
  </r>
  <r>
    <s v="TRX55"/>
    <x v="35"/>
    <s v="CUST55"/>
    <s v="Kevin Scott"/>
    <s v="P055"/>
    <x v="7"/>
    <s v="Appliances"/>
    <n v="1"/>
    <n v="79.989999999999995"/>
    <s v="PayPal"/>
    <x v="0"/>
    <s v="Premium"/>
    <d v="2024-03-01T00:00:00"/>
    <n v="79.989999999999995"/>
  </r>
  <r>
    <s v="TRX56"/>
    <x v="35"/>
    <s v="CUST56"/>
    <s v="Robert Thomas"/>
    <s v="P056"/>
    <x v="8"/>
    <s v="Electronics"/>
    <n v="2"/>
    <n v="89.99"/>
    <s v="Cash"/>
    <x v="3"/>
    <s v="Basic"/>
    <d v="2021-08-30T00:00:00"/>
    <n v="179.98"/>
  </r>
  <r>
    <s v="TRX57"/>
    <x v="36"/>
    <s v="CUST57"/>
    <s v="Kathleen Bennett"/>
    <s v="P057"/>
    <x v="5"/>
    <s v="Electronics"/>
    <n v="3"/>
    <n v="699.99"/>
    <s v="Credit Card"/>
    <x v="4"/>
    <s v="Premium"/>
    <d v="2023-06-25T00:00:00"/>
    <n v="2099.9699999999998"/>
  </r>
  <r>
    <s v="TRX58"/>
    <x v="36"/>
    <s v="CUST58"/>
    <s v="Patricia Moore"/>
    <s v="P058"/>
    <x v="4"/>
    <s v="Electronics"/>
    <n v="4"/>
    <n v="899.99"/>
    <s v="Credit Card"/>
    <x v="4"/>
    <s v="Premium"/>
    <d v="2023-03-08T00:00:00"/>
    <n v="3599.96"/>
  </r>
  <r>
    <s v="TRX59"/>
    <x v="37"/>
    <s v="CUST59"/>
    <s v="Helen Roberts"/>
    <s v="P059"/>
    <x v="2"/>
    <s v="Furniture"/>
    <n v="1"/>
    <n v="149.99"/>
    <s v="PayPal"/>
    <x v="4"/>
    <s v="Basic"/>
    <d v="2022-10-17T00:00:00"/>
    <n v="149.99"/>
  </r>
  <r>
    <s v="TRX60"/>
    <x v="38"/>
    <s v="CUST60"/>
    <s v="Emma Wilson"/>
    <s v="P060"/>
    <x v="8"/>
    <s v="Electronics"/>
    <n v="2"/>
    <n v="89.99"/>
    <s v="PayPal"/>
    <x v="0"/>
    <s v="Premium"/>
    <d v="2023-12-15T00:00:00"/>
    <n v="179.98"/>
  </r>
  <r>
    <s v="TRX61"/>
    <x v="39"/>
    <s v="CUST61"/>
    <s v="Charles Allen"/>
    <s v="P061"/>
    <x v="8"/>
    <s v="Electronics"/>
    <n v="1"/>
    <n v="89.99"/>
    <s v="PayPal"/>
    <x v="3"/>
    <s v="Standard"/>
    <d v="2022-08-29T00:00:00"/>
    <n v="89.99"/>
  </r>
  <r>
    <s v="TRX62"/>
    <x v="40"/>
    <s v="CUST62"/>
    <s v="Susan Green"/>
    <s v="P062"/>
    <x v="8"/>
    <s v="Electronics"/>
    <n v="1"/>
    <n v="89.99"/>
    <s v="Cash"/>
    <x v="1"/>
    <s v="Standard"/>
    <d v="2022-02-19T00:00:00"/>
    <n v="89.99"/>
  </r>
  <r>
    <s v="TRX63"/>
    <x v="40"/>
    <s v="CUST63"/>
    <s v="David Martinez"/>
    <s v="P063"/>
    <x v="7"/>
    <s v="Appliances"/>
    <n v="5"/>
    <n v="79.989999999999995"/>
    <s v="Debit Card"/>
    <x v="0"/>
    <s v="Basic"/>
    <d v="2023-02-24T00:00:00"/>
    <n v="399.95"/>
  </r>
  <r>
    <s v="TRX64"/>
    <x v="41"/>
    <s v="CUST64"/>
    <s v="Margaret Wright"/>
    <s v="P064"/>
    <x v="2"/>
    <s v="Furniture"/>
    <n v="1"/>
    <n v="149.99"/>
    <s v="PayPal"/>
    <x v="2"/>
    <s v="Basic"/>
    <d v="2021-08-13T00:00:00"/>
    <n v="149.99"/>
  </r>
  <r>
    <s v="TRX65"/>
    <x v="41"/>
    <s v="CUST65"/>
    <s v="Michael Brown"/>
    <s v="P065"/>
    <x v="5"/>
    <s v="Electronics"/>
    <n v="2"/>
    <n v="699.99"/>
    <s v="PayPal"/>
    <x v="4"/>
    <s v="Premium"/>
    <d v="2024-04-07T00:00:00"/>
    <n v="1399.98"/>
  </r>
  <r>
    <s v="TRX66"/>
    <x v="41"/>
    <s v="CUST66"/>
    <s v="Barbara Young"/>
    <s v="P066"/>
    <x v="8"/>
    <s v="Electronics"/>
    <n v="5"/>
    <n v="89.99"/>
    <s v="Debit Card"/>
    <x v="2"/>
    <s v="Premium"/>
    <d v="2023-08-23T00:00:00"/>
    <n v="449.95"/>
  </r>
  <r>
    <s v="TRX67"/>
    <x v="42"/>
    <s v="CUST67"/>
    <s v="Raymond Ross"/>
    <s v="P067"/>
    <x v="1"/>
    <s v="Appliances"/>
    <n v="4"/>
    <n v="59.99"/>
    <s v="Cash"/>
    <x v="1"/>
    <s v="Standard"/>
    <d v="2021-11-09T00:00:00"/>
    <n v="239.96"/>
  </r>
  <r>
    <s v="TRX68"/>
    <x v="43"/>
    <s v="CUST68"/>
    <s v="Joseph Jackson"/>
    <s v="P068"/>
    <x v="3"/>
    <s v="Electronics"/>
    <n v="1"/>
    <n v="149.99"/>
    <s v="Cash"/>
    <x v="0"/>
    <s v="Standard"/>
    <d v="2022-12-14T00:00:00"/>
    <n v="149.99"/>
  </r>
  <r>
    <s v="TRX69"/>
    <x v="43"/>
    <s v="CUST69"/>
    <s v="Frank Torres"/>
    <s v="P069"/>
    <x v="6"/>
    <s v="Furniture"/>
    <n v="1"/>
    <n v="299.99"/>
    <s v="Credit Card"/>
    <x v="2"/>
    <s v="Premium"/>
    <d v="2022-11-26T00:00:00"/>
    <n v="299.99"/>
  </r>
  <r>
    <s v="TRX70"/>
    <x v="44"/>
    <s v="CUST70"/>
    <s v="Frank Torres"/>
    <s v="P070"/>
    <x v="9"/>
    <s v="Furniture"/>
    <n v="2"/>
    <n v="199.99"/>
    <s v="Cash"/>
    <x v="2"/>
    <s v="Basic"/>
    <d v="2021-12-11T00:00:00"/>
    <n v="399.98"/>
  </r>
  <r>
    <s v="TRX71"/>
    <x v="45"/>
    <s v="CUST71"/>
    <s v="Gerald Murphy"/>
    <s v="P071"/>
    <x v="1"/>
    <s v="Appliances"/>
    <n v="3"/>
    <n v="59.99"/>
    <s v="Credit Card"/>
    <x v="3"/>
    <s v="Basic"/>
    <d v="2023-07-23T00:00:00"/>
    <n v="179.97"/>
  </r>
  <r>
    <s v="TRX72"/>
    <x v="45"/>
    <s v="CUST72"/>
    <s v="Peter Richardson"/>
    <s v="P072"/>
    <x v="2"/>
    <s v="Furniture"/>
    <n v="3"/>
    <n v="149.99"/>
    <s v="Cash"/>
    <x v="0"/>
    <s v="Premium"/>
    <d v="2023-09-30T00:00:00"/>
    <n v="449.97"/>
  </r>
  <r>
    <s v="TRX73"/>
    <x v="46"/>
    <s v="CUST73"/>
    <s v="Karen Hill"/>
    <s v="P073"/>
    <x v="9"/>
    <s v="Furniture"/>
    <n v="3"/>
    <n v="199.99"/>
    <s v="Cash"/>
    <x v="2"/>
    <s v="Premium"/>
    <d v="2023-11-24T00:00:00"/>
    <n v="599.97"/>
  </r>
  <r>
    <s v="TRX74"/>
    <x v="47"/>
    <s v="CUST74"/>
    <s v="Sharon Butler"/>
    <s v="P074"/>
    <x v="4"/>
    <s v="Electronics"/>
    <n v="1"/>
    <n v="899.99"/>
    <s v="Cash"/>
    <x v="0"/>
    <s v="Standard"/>
    <d v="2023-09-10T00:00:00"/>
    <n v="899.99"/>
  </r>
  <r>
    <s v="TRX75"/>
    <x v="48"/>
    <s v="CUST75"/>
    <s v="Joseph Jackson"/>
    <s v="P075"/>
    <x v="4"/>
    <s v="Electronics"/>
    <n v="5"/>
    <n v="899.99"/>
    <s v="Debit Card"/>
    <x v="1"/>
    <s v="Standard"/>
    <d v="2022-12-04T00:00:00"/>
    <n v="4499.95"/>
  </r>
  <r>
    <s v="TRX76"/>
    <x v="49"/>
    <s v="CUST76"/>
    <s v="David Martinez"/>
    <s v="P076"/>
    <x v="1"/>
    <s v="Appliances"/>
    <n v="2"/>
    <n v="59.99"/>
    <s v="Cash"/>
    <x v="2"/>
    <s v="Standard"/>
    <d v="2023-08-14T00:00:00"/>
    <n v="119.98"/>
  </r>
  <r>
    <s v="TRX77"/>
    <x v="49"/>
    <s v="CUST77"/>
    <s v="Gerald Murphy"/>
    <s v="P077"/>
    <x v="0"/>
    <s v="Electronics"/>
    <n v="4"/>
    <n v="249.99"/>
    <s v="Debit Card"/>
    <x v="0"/>
    <s v="Standard"/>
    <d v="2023-07-20T00:00:00"/>
    <n v="999.96"/>
  </r>
  <r>
    <s v="TRX78"/>
    <x v="50"/>
    <s v="CUST78"/>
    <s v="Barbara Young"/>
    <s v="P078"/>
    <x v="0"/>
    <s v="Electronics"/>
    <n v="2"/>
    <n v="249.99"/>
    <s v="Cash"/>
    <x v="2"/>
    <s v="Premium"/>
    <d v="2023-08-26T00:00:00"/>
    <n v="499.98"/>
  </r>
  <r>
    <s v="TRX79"/>
    <x v="50"/>
    <s v="CUST79"/>
    <s v="Daniel King"/>
    <s v="P079"/>
    <x v="6"/>
    <s v="Furniture"/>
    <n v="1"/>
    <n v="299.99"/>
    <s v="Cash"/>
    <x v="1"/>
    <s v="Basic"/>
    <d v="2023-02-25T00:00:00"/>
    <n v="299.99"/>
  </r>
  <r>
    <s v="TRX80"/>
    <x v="51"/>
    <s v="CUST80"/>
    <s v="Mark Carter"/>
    <s v="P080"/>
    <x v="8"/>
    <s v="Electronics"/>
    <n v="2"/>
    <n v="89.99"/>
    <s v="PayPal"/>
    <x v="1"/>
    <s v="Basic"/>
    <d v="2023-02-19T00:00:00"/>
    <n v="179.98"/>
  </r>
  <r>
    <s v="TRX81"/>
    <x v="51"/>
    <s v="CUST81"/>
    <s v="Daniel King"/>
    <s v="P081"/>
    <x v="6"/>
    <s v="Furniture"/>
    <n v="3"/>
    <n v="299.99"/>
    <s v="Cash"/>
    <x v="0"/>
    <s v="Basic"/>
    <d v="2022-06-20T00:00:00"/>
    <n v="899.97"/>
  </r>
  <r>
    <s v="TRX82"/>
    <x v="52"/>
    <s v="CUST82"/>
    <s v="Mark Carter"/>
    <s v="P082"/>
    <x v="5"/>
    <s v="Electronics"/>
    <n v="2"/>
    <n v="699.99"/>
    <s v="Credit Card"/>
    <x v="2"/>
    <s v="Premium"/>
    <d v="2023-03-14T00:00:00"/>
    <n v="1399.98"/>
  </r>
  <r>
    <s v="TRX83"/>
    <x v="53"/>
    <s v="CUST83"/>
    <s v="Helen Roberts"/>
    <s v="P083"/>
    <x v="4"/>
    <s v="Electronics"/>
    <n v="4"/>
    <n v="899.99"/>
    <s v="Debit Card"/>
    <x v="1"/>
    <s v="Standard"/>
    <d v="2021-11-23T00:00:00"/>
    <n v="3599.96"/>
  </r>
  <r>
    <s v="TRX84"/>
    <x v="54"/>
    <s v="CUST84"/>
    <s v="Elizabeth Hall"/>
    <s v="P084"/>
    <x v="2"/>
    <s v="Furniture"/>
    <n v="2"/>
    <n v="149.99"/>
    <s v="Credit Card"/>
    <x v="3"/>
    <s v="Basic"/>
    <d v="2021-12-12T00:00:00"/>
    <n v="299.98"/>
  </r>
  <r>
    <s v="TRX85"/>
    <x v="55"/>
    <s v="CUST85"/>
    <s v="Cynthia Price"/>
    <s v="P085"/>
    <x v="2"/>
    <s v="Furniture"/>
    <n v="2"/>
    <n v="149.99"/>
    <s v="Debit Card"/>
    <x v="4"/>
    <s v="Standard"/>
    <d v="2022-04-16T00:00:00"/>
    <n v="299.98"/>
  </r>
  <r>
    <s v="TRX86"/>
    <x v="56"/>
    <s v="CUST86"/>
    <s v="Maria Garcia"/>
    <s v="P086"/>
    <x v="8"/>
    <s v="Electronics"/>
    <n v="1"/>
    <n v="89.99"/>
    <s v="Credit Card"/>
    <x v="2"/>
    <s v="Standard"/>
    <d v="2024-04-11T00:00:00"/>
    <n v="89.99"/>
  </r>
  <r>
    <s v="TRX87"/>
    <x v="57"/>
    <s v="CUST87"/>
    <s v="Mark Carter"/>
    <s v="P087"/>
    <x v="6"/>
    <s v="Furniture"/>
    <n v="5"/>
    <n v="299.99"/>
    <s v="Credit Card"/>
    <x v="2"/>
    <s v="Basic"/>
    <d v="2023-02-08T00:00:00"/>
    <n v="1499.95"/>
  </r>
  <r>
    <s v="TRX88"/>
    <x v="58"/>
    <s v="CUST88"/>
    <s v="David Martinez"/>
    <s v="P088"/>
    <x v="3"/>
    <s v="Electronics"/>
    <n v="4"/>
    <n v="149.99"/>
    <s v="Debit Card"/>
    <x v="1"/>
    <s v="Premium"/>
    <d v="2022-09-16T00:00:00"/>
    <n v="599.96"/>
  </r>
  <r>
    <s v="TRX89"/>
    <x v="58"/>
    <s v="CUST89"/>
    <s v="Margaret Wright"/>
    <s v="P089"/>
    <x v="0"/>
    <s v="Electronics"/>
    <n v="5"/>
    <n v="249.99"/>
    <s v="PayPal"/>
    <x v="4"/>
    <s v="Premium"/>
    <d v="2022-08-09T00:00:00"/>
    <n v="1249.95"/>
  </r>
  <r>
    <s v="TRX90"/>
    <x v="58"/>
    <s v="CUST90"/>
    <s v="Karen Hill"/>
    <s v="P090"/>
    <x v="0"/>
    <s v="Electronics"/>
    <n v="3"/>
    <n v="249.99"/>
    <s v="PayPal"/>
    <x v="2"/>
    <s v="Premium"/>
    <d v="2021-09-26T00:00:00"/>
    <n v="749.97"/>
  </r>
  <r>
    <s v="TRX91"/>
    <x v="58"/>
    <s v="CUST91"/>
    <s v="Kathleen Bennett"/>
    <s v="P091"/>
    <x v="9"/>
    <s v="Furniture"/>
    <n v="4"/>
    <n v="199.99"/>
    <s v="Cash"/>
    <x v="2"/>
    <s v="Standard"/>
    <d v="2021-09-19T00:00:00"/>
    <n v="799.96"/>
  </r>
  <r>
    <s v="TRX92"/>
    <x v="59"/>
    <s v="CUST92"/>
    <s v="Betty Campbell"/>
    <s v="P092"/>
    <x v="9"/>
    <s v="Furniture"/>
    <n v="5"/>
    <n v="199.99"/>
    <s v="Cash"/>
    <x v="2"/>
    <s v="Premium"/>
    <d v="2023-03-06T00:00:00"/>
    <n v="999.95"/>
  </r>
  <r>
    <s v="TRX93"/>
    <x v="60"/>
    <s v="CUST93"/>
    <s v="Mark Carter"/>
    <s v="P093"/>
    <x v="8"/>
    <s v="Electronics"/>
    <n v="2"/>
    <n v="89.99"/>
    <s v="Cash"/>
    <x v="4"/>
    <s v="Premium"/>
    <d v="2023-02-15T00:00:00"/>
    <n v="179.98"/>
  </r>
  <r>
    <s v="TRX94"/>
    <x v="61"/>
    <s v="CUST94"/>
    <s v="Gerald Murphy"/>
    <s v="P094"/>
    <x v="4"/>
    <s v="Electronics"/>
    <n v="5"/>
    <n v="899.99"/>
    <s v="Debit Card"/>
    <x v="4"/>
    <s v="Basic"/>
    <d v="2021-11-26T00:00:00"/>
    <n v="4499.95"/>
  </r>
  <r>
    <s v="TRX95"/>
    <x v="61"/>
    <s v="CUST95"/>
    <s v="Nancy Collins"/>
    <s v="P095"/>
    <x v="3"/>
    <s v="Electronics"/>
    <n v="3"/>
    <n v="149.99"/>
    <s v="PayPal"/>
    <x v="4"/>
    <s v="Basic"/>
    <d v="2022-01-13T00:00:00"/>
    <n v="449.97"/>
  </r>
  <r>
    <s v="TRX96"/>
    <x v="62"/>
    <s v="CUST96"/>
    <s v="Cynthia Price"/>
    <s v="P096"/>
    <x v="2"/>
    <s v="Furniture"/>
    <n v="5"/>
    <n v="149.99"/>
    <s v="Credit Card"/>
    <x v="0"/>
    <s v="Basic"/>
    <d v="2024-01-19T00:00:00"/>
    <n v="749.95"/>
  </r>
  <r>
    <s v="TRX97"/>
    <x v="63"/>
    <s v="CUST97"/>
    <s v="Lawrence Reed"/>
    <s v="P097"/>
    <x v="7"/>
    <s v="Appliances"/>
    <n v="3"/>
    <n v="79.989999999999995"/>
    <s v="Cash"/>
    <x v="0"/>
    <s v="Premium"/>
    <d v="2022-08-06T00:00:00"/>
    <n v="239.97"/>
  </r>
  <r>
    <s v="TRX98"/>
    <x v="63"/>
    <s v="CUST98"/>
    <s v="Harry Morgan"/>
    <s v="P098"/>
    <x v="0"/>
    <s v="Electronics"/>
    <n v="2"/>
    <n v="249.99"/>
    <s v="Cash"/>
    <x v="1"/>
    <s v="Standard"/>
    <d v="2022-01-11T00:00:00"/>
    <n v="499.98"/>
  </r>
  <r>
    <s v="TRX99"/>
    <x v="64"/>
    <s v="CUST99"/>
    <s v="Gerald Murphy"/>
    <s v="P099"/>
    <x v="5"/>
    <s v="Electronics"/>
    <n v="1"/>
    <n v="699.99"/>
    <s v="Cash"/>
    <x v="0"/>
    <s v="Premium"/>
    <d v="2021-10-28T00:00:00"/>
    <n v="699.99"/>
  </r>
  <r>
    <s v="TRX100"/>
    <x v="64"/>
    <s v="CUST100"/>
    <s v="Carol Evans"/>
    <s v="P100"/>
    <x v="3"/>
    <s v="Electronics"/>
    <n v="3"/>
    <n v="149.99"/>
    <s v="Cash"/>
    <x v="3"/>
    <s v="Premium"/>
    <d v="2023-10-13T00:00:00"/>
    <n v="449.97"/>
  </r>
  <r>
    <s v="TRX101"/>
    <x v="65"/>
    <s v="CUST101"/>
    <s v="Sandra Phillips"/>
    <s v="P101"/>
    <x v="5"/>
    <s v="Electronics"/>
    <n v="2"/>
    <n v="699.99"/>
    <s v="Credit Card"/>
    <x v="2"/>
    <s v="Premium"/>
    <d v="2021-08-13T00:00:00"/>
    <n v="1399.98"/>
  </r>
  <r>
    <s v="TRX102"/>
    <x v="66"/>
    <s v="CUST102"/>
    <s v="Carol Evans"/>
    <s v="P102"/>
    <x v="0"/>
    <s v="Electronics"/>
    <n v="1"/>
    <n v="249.99"/>
    <s v="Credit Card"/>
    <x v="3"/>
    <s v="Premium"/>
    <d v="2022-05-04T00:00:00"/>
    <n v="249.99"/>
  </r>
  <r>
    <s v="TRX103"/>
    <x v="66"/>
    <s v="CUST103"/>
    <s v="Paul Baker"/>
    <s v="P103"/>
    <x v="0"/>
    <s v="Electronics"/>
    <n v="1"/>
    <n v="249.99"/>
    <s v="Debit Card"/>
    <x v="2"/>
    <s v="Premium"/>
    <d v="2024-02-10T00:00:00"/>
    <n v="249.99"/>
  </r>
  <r>
    <s v="TRX104"/>
    <x v="67"/>
    <s v="CUST104"/>
    <s v="Lawrence Reed"/>
    <s v="P104"/>
    <x v="5"/>
    <s v="Electronics"/>
    <n v="2"/>
    <n v="699.99"/>
    <s v="Debit Card"/>
    <x v="0"/>
    <s v="Premium"/>
    <d v="2022-11-05T00:00:00"/>
    <n v="1399.98"/>
  </r>
  <r>
    <s v="TRX105"/>
    <x v="68"/>
    <s v="CUST105"/>
    <s v="Steven Turner"/>
    <s v="P105"/>
    <x v="1"/>
    <s v="Appliances"/>
    <n v="3"/>
    <n v="59.99"/>
    <s v="Credit Card"/>
    <x v="0"/>
    <s v="Premium"/>
    <d v="2022-06-05T00:00:00"/>
    <n v="179.97"/>
  </r>
  <r>
    <s v="TRX106"/>
    <x v="69"/>
    <s v="CUST106"/>
    <s v="Emma Wilson"/>
    <s v="P106"/>
    <x v="1"/>
    <s v="Appliances"/>
    <n v="3"/>
    <n v="59.99"/>
    <s v="PayPal"/>
    <x v="4"/>
    <s v="Standard"/>
    <d v="2022-07-06T00:00:00"/>
    <n v="179.97"/>
  </r>
  <r>
    <s v="TRX107"/>
    <x v="69"/>
    <s v="CUST107"/>
    <s v="Jennifer Taylor"/>
    <s v="P107"/>
    <x v="7"/>
    <s v="Appliances"/>
    <n v="4"/>
    <n v="79.989999999999995"/>
    <s v="Cash"/>
    <x v="2"/>
    <s v="Basic"/>
    <d v="2021-11-30T00:00:00"/>
    <n v="319.95999999999998"/>
  </r>
  <r>
    <s v="TRX108"/>
    <x v="70"/>
    <s v="CUST108"/>
    <s v="Charles Allen"/>
    <s v="P108"/>
    <x v="7"/>
    <s v="Appliances"/>
    <n v="1"/>
    <n v="79.989999999999995"/>
    <s v="Cash"/>
    <x v="3"/>
    <s v="Basic"/>
    <d v="2022-05-12T00:00:00"/>
    <n v="79.989999999999995"/>
  </r>
  <r>
    <s v="TRX109"/>
    <x v="71"/>
    <s v="CUST109"/>
    <s v="Dorothy Nelson"/>
    <s v="P109"/>
    <x v="6"/>
    <s v="Furniture"/>
    <n v="3"/>
    <n v="299.99"/>
    <s v="Credit Card"/>
    <x v="0"/>
    <s v="Premium"/>
    <d v="2021-10-25T00:00:00"/>
    <n v="899.97"/>
  </r>
  <r>
    <s v="TRX110"/>
    <x v="72"/>
    <s v="CUST110"/>
    <s v="Kathleen Bennett"/>
    <s v="P110"/>
    <x v="8"/>
    <s v="Electronics"/>
    <n v="2"/>
    <n v="89.99"/>
    <s v="Credit Card"/>
    <x v="1"/>
    <s v="Premium"/>
    <d v="2022-03-21T00:00:00"/>
    <n v="179.98"/>
  </r>
  <r>
    <s v="TRX111"/>
    <x v="73"/>
    <s v="CUST111"/>
    <s v="Ruth Brooks"/>
    <s v="P111"/>
    <x v="3"/>
    <s v="Electronics"/>
    <n v="4"/>
    <n v="149.99"/>
    <s v="Cash"/>
    <x v="2"/>
    <s v="Basic"/>
    <d v="2022-12-14T00:00:00"/>
    <n v="599.96"/>
  </r>
  <r>
    <s v="TRX112"/>
    <x v="74"/>
    <s v="CUST112"/>
    <s v="Karen Hill"/>
    <s v="P112"/>
    <x v="0"/>
    <s v="Electronics"/>
    <n v="2"/>
    <n v="249.99"/>
    <s v="PayPal"/>
    <x v="1"/>
    <s v="Basic"/>
    <d v="2023-03-08T00:00:00"/>
    <n v="499.98"/>
  </r>
  <r>
    <s v="TRX113"/>
    <x v="74"/>
    <s v="CUST113"/>
    <s v="Sarah Davis"/>
    <s v="P113"/>
    <x v="9"/>
    <s v="Furniture"/>
    <n v="4"/>
    <n v="199.99"/>
    <s v="Debit Card"/>
    <x v="4"/>
    <s v="Basic"/>
    <d v="2021-09-19T00:00:00"/>
    <n v="799.96"/>
  </r>
  <r>
    <s v="TRX114"/>
    <x v="75"/>
    <s v="CUST114"/>
    <s v="Daniel King"/>
    <s v="P114"/>
    <x v="8"/>
    <s v="Electronics"/>
    <n v="5"/>
    <n v="89.99"/>
    <s v="Credit Card"/>
    <x v="4"/>
    <s v="Premium"/>
    <d v="2021-09-07T00:00:00"/>
    <n v="449.95"/>
  </r>
  <r>
    <s v="TRX115"/>
    <x v="75"/>
    <s v="CUST115"/>
    <s v="William White"/>
    <s v="P115"/>
    <x v="3"/>
    <s v="Electronics"/>
    <n v="1"/>
    <n v="149.99"/>
    <s v="PayPal"/>
    <x v="4"/>
    <s v="Standard"/>
    <d v="2021-10-13T00:00:00"/>
    <n v="149.99"/>
  </r>
  <r>
    <s v="TRX116"/>
    <x v="75"/>
    <s v="CUST116"/>
    <s v="Peter Richardson"/>
    <s v="P116"/>
    <x v="5"/>
    <s v="Electronics"/>
    <n v="4"/>
    <n v="699.99"/>
    <s v="PayPal"/>
    <x v="1"/>
    <s v="Basic"/>
    <d v="2022-02-26T00:00:00"/>
    <n v="2799.96"/>
  </r>
  <r>
    <s v="TRX117"/>
    <x v="76"/>
    <s v="CUST117"/>
    <s v="Sandra Phillips"/>
    <s v="P117"/>
    <x v="4"/>
    <s v="Electronics"/>
    <n v="3"/>
    <n v="899.99"/>
    <s v="Credit Card"/>
    <x v="2"/>
    <s v="Standard"/>
    <d v="2023-08-19T00:00:00"/>
    <n v="2699.97"/>
  </r>
  <r>
    <s v="TRX118"/>
    <x v="77"/>
    <s v="CUST118"/>
    <s v="Linda Martin"/>
    <s v="P118"/>
    <x v="2"/>
    <s v="Furniture"/>
    <n v="3"/>
    <n v="149.99"/>
    <s v="PayPal"/>
    <x v="4"/>
    <s v="Basic"/>
    <d v="2022-11-21T00:00:00"/>
    <n v="449.97"/>
  </r>
  <r>
    <s v="TRX119"/>
    <x v="78"/>
    <s v="CUST119"/>
    <s v="Patricia Moore"/>
    <s v="P119"/>
    <x v="6"/>
    <s v="Furniture"/>
    <n v="2"/>
    <n v="299.99"/>
    <s v="Debit Card"/>
    <x v="0"/>
    <s v="Basic"/>
    <d v="2022-01-08T00:00:00"/>
    <n v="599.98"/>
  </r>
  <r>
    <s v="TRX120"/>
    <x v="79"/>
    <s v="CUST120"/>
    <s v="Richard Lee"/>
    <s v="P120"/>
    <x v="9"/>
    <s v="Furniture"/>
    <n v="1"/>
    <n v="199.99"/>
    <s v="Debit Card"/>
    <x v="4"/>
    <s v="Standard"/>
    <d v="2023-01-27T00:00:00"/>
    <n v="199.99"/>
  </r>
  <r>
    <s v="TRX121"/>
    <x v="80"/>
    <s v="CUST121"/>
    <s v="Michael Brown"/>
    <s v="P121"/>
    <x v="6"/>
    <s v="Furniture"/>
    <n v="4"/>
    <n v="299.99"/>
    <s v="Cash"/>
    <x v="0"/>
    <s v="Premium"/>
    <d v="2021-09-21T00:00:00"/>
    <n v="1199.96"/>
  </r>
  <r>
    <s v="TRX122"/>
    <x v="81"/>
    <s v="CUST122"/>
    <s v="Maria Garcia"/>
    <s v="P122"/>
    <x v="1"/>
    <s v="Appliances"/>
    <n v="2"/>
    <n v="59.99"/>
    <s v="Credit Card"/>
    <x v="0"/>
    <s v="Basic"/>
    <d v="2022-01-18T00:00:00"/>
    <n v="119.98"/>
  </r>
  <r>
    <s v="TRX123"/>
    <x v="81"/>
    <s v="CUST123"/>
    <s v="Sandra Phillips"/>
    <s v="P123"/>
    <x v="3"/>
    <s v="Electronics"/>
    <n v="4"/>
    <n v="149.99"/>
    <s v="Credit Card"/>
    <x v="2"/>
    <s v="Premium"/>
    <d v="2023-05-30T00:00:00"/>
    <n v="599.96"/>
  </r>
  <r>
    <s v="TRX124"/>
    <x v="82"/>
    <s v="CUST124"/>
    <s v="Elizabeth Hall"/>
    <s v="P124"/>
    <x v="5"/>
    <s v="Electronics"/>
    <n v="2"/>
    <n v="699.99"/>
    <s v="Debit Card"/>
    <x v="4"/>
    <s v="Premium"/>
    <d v="2023-12-14T00:00:00"/>
    <n v="1399.98"/>
  </r>
  <r>
    <s v="TRX125"/>
    <x v="82"/>
    <s v="CUST125"/>
    <s v="Carol Evans"/>
    <s v="P125"/>
    <x v="2"/>
    <s v="Furniture"/>
    <n v="3"/>
    <n v="149.99"/>
    <s v="Credit Card"/>
    <x v="1"/>
    <s v="Standard"/>
    <d v="2023-01-14T00:00:00"/>
    <n v="449.97"/>
  </r>
  <r>
    <s v="TRX126"/>
    <x v="83"/>
    <s v="CUST126"/>
    <s v="Daniel King"/>
    <s v="P126"/>
    <x v="6"/>
    <s v="Furniture"/>
    <n v="3"/>
    <n v="299.99"/>
    <s v="Credit Card"/>
    <x v="0"/>
    <s v="Standard"/>
    <d v="2023-09-05T00:00:00"/>
    <n v="899.97"/>
  </r>
  <r>
    <s v="TRX127"/>
    <x v="84"/>
    <s v="CUST127"/>
    <s v="George Adams"/>
    <s v="P127"/>
    <x v="4"/>
    <s v="Electronics"/>
    <n v="3"/>
    <n v="899.99"/>
    <s v="PayPal"/>
    <x v="3"/>
    <s v="Basic"/>
    <d v="2023-10-16T00:00:00"/>
    <n v="2699.97"/>
  </r>
  <r>
    <s v="TRX128"/>
    <x v="85"/>
    <s v="CUST128"/>
    <s v="Barbara Young"/>
    <s v="P128"/>
    <x v="5"/>
    <s v="Electronics"/>
    <n v="5"/>
    <n v="699.99"/>
    <s v="Cash"/>
    <x v="4"/>
    <s v="Standard"/>
    <d v="2023-03-23T00:00:00"/>
    <n v="3499.95"/>
  </r>
  <r>
    <s v="TRX129"/>
    <x v="85"/>
    <s v="CUST129"/>
    <s v="Raymond Ross"/>
    <s v="P129"/>
    <x v="5"/>
    <s v="Electronics"/>
    <n v="4"/>
    <n v="699.99"/>
    <s v="Credit Card"/>
    <x v="0"/>
    <s v="Basic"/>
    <d v="2024-04-03T00:00:00"/>
    <n v="2799.96"/>
  </r>
  <r>
    <s v="TRX130"/>
    <x v="85"/>
    <s v="CUST130"/>
    <s v="Sharon Butler"/>
    <s v="P130"/>
    <x v="4"/>
    <s v="Electronics"/>
    <n v="1"/>
    <n v="899.99"/>
    <s v="Credit Card"/>
    <x v="4"/>
    <s v="Standard"/>
    <d v="2024-03-18T00:00:00"/>
    <n v="899.99"/>
  </r>
  <r>
    <s v="TRX131"/>
    <x v="86"/>
    <s v="CUST131"/>
    <s v="Lawrence Reed"/>
    <s v="P131"/>
    <x v="3"/>
    <s v="Electronics"/>
    <n v="2"/>
    <n v="149.99"/>
    <s v="Credit Card"/>
    <x v="3"/>
    <s v="Basic"/>
    <d v="2022-12-21T00:00:00"/>
    <n v="299.98"/>
  </r>
  <r>
    <s v="TRX132"/>
    <x v="87"/>
    <s v="CUST132"/>
    <s v="Lawrence Reed"/>
    <s v="P132"/>
    <x v="8"/>
    <s v="Electronics"/>
    <n v="3"/>
    <n v="89.99"/>
    <s v="PayPal"/>
    <x v="0"/>
    <s v="Basic"/>
    <d v="2021-12-21T00:00:00"/>
    <n v="269.97000000000003"/>
  </r>
  <r>
    <s v="TRX133"/>
    <x v="88"/>
    <s v="CUST133"/>
    <s v="Kathleen Bennett"/>
    <s v="P133"/>
    <x v="3"/>
    <s v="Electronics"/>
    <n v="2"/>
    <n v="149.99"/>
    <s v="PayPal"/>
    <x v="0"/>
    <s v="Basic"/>
    <d v="2021-10-04T00:00:00"/>
    <n v="299.98"/>
  </r>
  <r>
    <s v="TRX134"/>
    <x v="88"/>
    <s v="CUST134"/>
    <s v="Sarah Davis"/>
    <s v="P134"/>
    <x v="5"/>
    <s v="Electronics"/>
    <n v="2"/>
    <n v="699.99"/>
    <s v="Cash"/>
    <x v="0"/>
    <s v="Basic"/>
    <d v="2023-03-07T00:00:00"/>
    <n v="1399.98"/>
  </r>
  <r>
    <s v="TRX135"/>
    <x v="89"/>
    <s v="CUST135"/>
    <s v="Betty Campbell"/>
    <s v="P135"/>
    <x v="5"/>
    <s v="Electronics"/>
    <n v="5"/>
    <n v="699.99"/>
    <s v="Cash"/>
    <x v="2"/>
    <s v="Premium"/>
    <d v="2022-03-15T00:00:00"/>
    <n v="3499.95"/>
  </r>
  <r>
    <s v="TRX136"/>
    <x v="90"/>
    <s v="CUST136"/>
    <s v="Raymond Ross"/>
    <s v="P136"/>
    <x v="8"/>
    <s v="Electronics"/>
    <n v="3"/>
    <n v="89.99"/>
    <s v="Credit Card"/>
    <x v="2"/>
    <s v="Standard"/>
    <d v="2022-02-23T00:00:00"/>
    <n v="269.97000000000003"/>
  </r>
  <r>
    <s v="TRX137"/>
    <x v="91"/>
    <s v="CUST137"/>
    <s v="Paul Baker"/>
    <s v="P137"/>
    <x v="0"/>
    <s v="Electronics"/>
    <n v="5"/>
    <n v="249.99"/>
    <s v="Credit Card"/>
    <x v="1"/>
    <s v="Standard"/>
    <d v="2022-11-16T00:00:00"/>
    <n v="1249.95"/>
  </r>
  <r>
    <s v="TRX138"/>
    <x v="92"/>
    <s v="CUST138"/>
    <s v="Karen Hill"/>
    <s v="P138"/>
    <x v="6"/>
    <s v="Furniture"/>
    <n v="3"/>
    <n v="299.99"/>
    <s v="Credit Card"/>
    <x v="1"/>
    <s v="Standard"/>
    <d v="2021-11-02T00:00:00"/>
    <n v="899.97"/>
  </r>
  <r>
    <s v="TRX139"/>
    <x v="93"/>
    <s v="CUST139"/>
    <s v="Patricia Moore"/>
    <s v="P139"/>
    <x v="8"/>
    <s v="Electronics"/>
    <n v="3"/>
    <n v="89.99"/>
    <s v="Credit Card"/>
    <x v="2"/>
    <s v="Premium"/>
    <d v="2021-08-12T00:00:00"/>
    <n v="269.97000000000003"/>
  </r>
  <r>
    <s v="TRX140"/>
    <x v="94"/>
    <s v="CUST140"/>
    <s v="Maria Garcia"/>
    <s v="P140"/>
    <x v="2"/>
    <s v="Furniture"/>
    <n v="2"/>
    <n v="149.99"/>
    <s v="Credit Card"/>
    <x v="3"/>
    <s v="Premium"/>
    <d v="2022-10-14T00:00:00"/>
    <n v="299.98"/>
  </r>
  <r>
    <s v="TRX141"/>
    <x v="95"/>
    <s v="CUST141"/>
    <s v="Margaret Wright"/>
    <s v="P141"/>
    <x v="0"/>
    <s v="Electronics"/>
    <n v="1"/>
    <n v="249.99"/>
    <s v="Credit Card"/>
    <x v="2"/>
    <s v="Premium"/>
    <d v="2022-09-24T00:00:00"/>
    <n v="249.99"/>
  </r>
  <r>
    <s v="TRX142"/>
    <x v="96"/>
    <s v="CUST142"/>
    <s v="Peter Richardson"/>
    <s v="P142"/>
    <x v="3"/>
    <s v="Electronics"/>
    <n v="3"/>
    <n v="149.99"/>
    <s v="Cash"/>
    <x v="2"/>
    <s v="Basic"/>
    <d v="2022-07-27T00:00:00"/>
    <n v="449.97"/>
  </r>
  <r>
    <s v="TRX143"/>
    <x v="96"/>
    <s v="CUST143"/>
    <s v="Paul Baker"/>
    <s v="P143"/>
    <x v="1"/>
    <s v="Appliances"/>
    <n v="5"/>
    <n v="59.99"/>
    <s v="PayPal"/>
    <x v="3"/>
    <s v="Premium"/>
    <d v="2022-05-13T00:00:00"/>
    <n v="299.95"/>
  </r>
  <r>
    <s v="TRX144"/>
    <x v="96"/>
    <s v="CUST144"/>
    <s v="Patricia Moore"/>
    <s v="P144"/>
    <x v="0"/>
    <s v="Electronics"/>
    <n v="4"/>
    <n v="249.99"/>
    <s v="Credit Card"/>
    <x v="3"/>
    <s v="Standard"/>
    <d v="2022-04-08T00:00:00"/>
    <n v="999.96"/>
  </r>
  <r>
    <s v="TRX145"/>
    <x v="97"/>
    <s v="CUST145"/>
    <s v="Sarah Davis"/>
    <s v="P145"/>
    <x v="2"/>
    <s v="Furniture"/>
    <n v="5"/>
    <n v="149.99"/>
    <s v="PayPal"/>
    <x v="0"/>
    <s v="Basic"/>
    <d v="2022-12-06T00:00:00"/>
    <n v="749.95"/>
  </r>
  <r>
    <s v="TRX146"/>
    <x v="97"/>
    <s v="CUST146"/>
    <s v="George Adams"/>
    <s v="P146"/>
    <x v="1"/>
    <s v="Appliances"/>
    <n v="3"/>
    <n v="59.99"/>
    <s v="Debit Card"/>
    <x v="1"/>
    <s v="Standard"/>
    <d v="2023-11-30T00:00:00"/>
    <n v="179.97"/>
  </r>
  <r>
    <s v="TRX147"/>
    <x v="98"/>
    <s v="CUST147"/>
    <s v="Sandra Phillips"/>
    <s v="P147"/>
    <x v="2"/>
    <s v="Furniture"/>
    <n v="5"/>
    <n v="149.99"/>
    <s v="Cash"/>
    <x v="2"/>
    <s v="Basic"/>
    <d v="2022-11-04T00:00:00"/>
    <n v="749.95"/>
  </r>
  <r>
    <s v="TRX148"/>
    <x v="98"/>
    <s v="CUST148"/>
    <s v="Mark Carter"/>
    <s v="P148"/>
    <x v="5"/>
    <s v="Electronics"/>
    <n v="2"/>
    <n v="699.99"/>
    <s v="PayPal"/>
    <x v="3"/>
    <s v="Standard"/>
    <d v="2022-07-28T00:00:00"/>
    <n v="1399.98"/>
  </r>
  <r>
    <s v="TRX149"/>
    <x v="99"/>
    <s v="CUST149"/>
    <s v="Edward Mitchell"/>
    <s v="P149"/>
    <x v="9"/>
    <s v="Furniture"/>
    <n v="4"/>
    <n v="199.99"/>
    <s v="Debit Card"/>
    <x v="0"/>
    <s v="Premium"/>
    <d v="2021-08-19T00:00:00"/>
    <n v="799.96"/>
  </r>
  <r>
    <s v="TRX150"/>
    <x v="100"/>
    <s v="CUST150"/>
    <s v="Frank Torres"/>
    <s v="P150"/>
    <x v="1"/>
    <s v="Appliances"/>
    <n v="1"/>
    <n v="59.99"/>
    <s v="Debit Card"/>
    <x v="3"/>
    <s v="Standard"/>
    <d v="2021-12-30T00:00:00"/>
    <n v="59.99"/>
  </r>
  <r>
    <s v="TRX151"/>
    <x v="100"/>
    <s v="CUST151"/>
    <s v="Sarah Davis"/>
    <s v="P151"/>
    <x v="5"/>
    <s v="Electronics"/>
    <n v="3"/>
    <n v="699.99"/>
    <s v="PayPal"/>
    <x v="3"/>
    <s v="Standard"/>
    <d v="2022-01-22T00:00:00"/>
    <n v="2099.9699999999998"/>
  </r>
  <r>
    <s v="TRX152"/>
    <x v="101"/>
    <s v="CUST152"/>
    <s v="Douglas Watson"/>
    <s v="P152"/>
    <x v="0"/>
    <s v="Electronics"/>
    <n v="5"/>
    <n v="249.99"/>
    <s v="Credit Card"/>
    <x v="2"/>
    <s v="Basic"/>
    <d v="2022-11-08T00:00:00"/>
    <n v="1249.95"/>
  </r>
  <r>
    <s v="TRX153"/>
    <x v="102"/>
    <s v="CUST153"/>
    <s v="Linda Martin"/>
    <s v="P153"/>
    <x v="2"/>
    <s v="Furniture"/>
    <n v="2"/>
    <n v="149.99"/>
    <s v="Cash"/>
    <x v="1"/>
    <s v="Standard"/>
    <d v="2023-06-24T00:00:00"/>
    <n v="299.98"/>
  </r>
  <r>
    <s v="TRX154"/>
    <x v="103"/>
    <s v="CUST154"/>
    <s v="Kevin Scott"/>
    <s v="P154"/>
    <x v="6"/>
    <s v="Furniture"/>
    <n v="3"/>
    <n v="299.99"/>
    <s v="Cash"/>
    <x v="1"/>
    <s v="Premium"/>
    <d v="2022-04-08T00:00:00"/>
    <n v="899.97"/>
  </r>
  <r>
    <s v="TRX155"/>
    <x v="103"/>
    <s v="CUST155"/>
    <s v="Charles Allen"/>
    <s v="P155"/>
    <x v="0"/>
    <s v="Electronics"/>
    <n v="5"/>
    <n v="249.99"/>
    <s v="Cash"/>
    <x v="0"/>
    <s v="Premium"/>
    <d v="2021-10-16T00:00:00"/>
    <n v="1249.95"/>
  </r>
  <r>
    <s v="TRX156"/>
    <x v="103"/>
    <s v="CUST156"/>
    <s v="Joseph Jackson"/>
    <s v="P156"/>
    <x v="3"/>
    <s v="Electronics"/>
    <n v="2"/>
    <n v="149.99"/>
    <s v="Cash"/>
    <x v="1"/>
    <s v="Premium"/>
    <d v="2021-10-06T00:00:00"/>
    <n v="299.98"/>
  </r>
  <r>
    <s v="TRX157"/>
    <x v="103"/>
    <s v="CUST157"/>
    <s v="Mark Carter"/>
    <s v="P157"/>
    <x v="5"/>
    <s v="Electronics"/>
    <n v="5"/>
    <n v="699.99"/>
    <s v="Debit Card"/>
    <x v="3"/>
    <s v="Standard"/>
    <d v="2023-01-18T00:00:00"/>
    <n v="3499.95"/>
  </r>
  <r>
    <s v="TRX158"/>
    <x v="104"/>
    <s v="CUST158"/>
    <s v="William White"/>
    <s v="P158"/>
    <x v="0"/>
    <s v="Electronics"/>
    <n v="4"/>
    <n v="249.99"/>
    <s v="PayPal"/>
    <x v="4"/>
    <s v="Premium"/>
    <d v="2023-06-21T00:00:00"/>
    <n v="999.96"/>
  </r>
  <r>
    <s v="TRX159"/>
    <x v="105"/>
    <s v="CUST159"/>
    <s v="Dorothy Nelson"/>
    <s v="P159"/>
    <x v="5"/>
    <s v="Electronics"/>
    <n v="4"/>
    <n v="699.99"/>
    <s v="Credit Card"/>
    <x v="2"/>
    <s v="Premium"/>
    <d v="2022-05-22T00:00:00"/>
    <n v="2799.96"/>
  </r>
  <r>
    <s v="TRX160"/>
    <x v="106"/>
    <s v="CUST160"/>
    <s v="Nancy Collins"/>
    <s v="P160"/>
    <x v="0"/>
    <s v="Electronics"/>
    <n v="2"/>
    <n v="249.99"/>
    <s v="Credit Card"/>
    <x v="0"/>
    <s v="Premium"/>
    <d v="2021-07-19T00:00:00"/>
    <n v="499.98"/>
  </r>
  <r>
    <s v="TRX161"/>
    <x v="106"/>
    <s v="CUST161"/>
    <s v="James Johnson"/>
    <s v="P161"/>
    <x v="1"/>
    <s v="Appliances"/>
    <n v="3"/>
    <n v="59.99"/>
    <s v="Cash"/>
    <x v="0"/>
    <s v="Premium"/>
    <d v="2023-05-06T00:00:00"/>
    <n v="179.97"/>
  </r>
  <r>
    <s v="TRX162"/>
    <x v="106"/>
    <s v="CUST162"/>
    <s v="Jennifer Taylor"/>
    <s v="P162"/>
    <x v="7"/>
    <s v="Appliances"/>
    <n v="4"/>
    <n v="79.989999999999995"/>
    <s v="Debit Card"/>
    <x v="4"/>
    <s v="Standard"/>
    <d v="2022-12-26T00:00:00"/>
    <n v="319.95999999999998"/>
  </r>
  <r>
    <s v="TRX163"/>
    <x v="107"/>
    <s v="CUST163"/>
    <s v="Helen Roberts"/>
    <s v="P163"/>
    <x v="7"/>
    <s v="Appliances"/>
    <n v="3"/>
    <n v="79.989999999999995"/>
    <s v="Debit Card"/>
    <x v="4"/>
    <s v="Standard"/>
    <d v="2022-08-06T00:00:00"/>
    <n v="239.97"/>
  </r>
  <r>
    <s v="TRX164"/>
    <x v="108"/>
    <s v="CUST164"/>
    <s v="Peter Richardson"/>
    <s v="P164"/>
    <x v="4"/>
    <s v="Electronics"/>
    <n v="2"/>
    <n v="899.99"/>
    <s v="Cash"/>
    <x v="2"/>
    <s v="Basic"/>
    <d v="2021-07-29T00:00:00"/>
    <n v="1799.98"/>
  </r>
  <r>
    <s v="TRX165"/>
    <x v="109"/>
    <s v="CUST165"/>
    <s v="David Martinez"/>
    <s v="P165"/>
    <x v="2"/>
    <s v="Furniture"/>
    <n v="1"/>
    <n v="149.99"/>
    <s v="Debit Card"/>
    <x v="4"/>
    <s v="Standard"/>
    <d v="2023-10-01T00:00:00"/>
    <n v="149.99"/>
  </r>
  <r>
    <s v="TRX166"/>
    <x v="109"/>
    <s v="CUST166"/>
    <s v="Steven Turner"/>
    <s v="P166"/>
    <x v="6"/>
    <s v="Furniture"/>
    <n v="2"/>
    <n v="299.99"/>
    <s v="Cash"/>
    <x v="4"/>
    <s v="Premium"/>
    <d v="2022-06-12T00:00:00"/>
    <n v="599.98"/>
  </r>
  <r>
    <s v="TRX167"/>
    <x v="110"/>
    <s v="CUST167"/>
    <s v="Emma Wilson"/>
    <s v="P167"/>
    <x v="1"/>
    <s v="Appliances"/>
    <n v="2"/>
    <n v="59.99"/>
    <s v="Cash"/>
    <x v="3"/>
    <s v="Basic"/>
    <d v="2023-09-22T00:00:00"/>
    <n v="119.98"/>
  </r>
  <r>
    <s v="TRX168"/>
    <x v="111"/>
    <s v="CUST168"/>
    <s v="David Martinez"/>
    <s v="P168"/>
    <x v="8"/>
    <s v="Electronics"/>
    <n v="1"/>
    <n v="89.99"/>
    <s v="Debit Card"/>
    <x v="0"/>
    <s v="Standard"/>
    <d v="2022-07-18T00:00:00"/>
    <n v="89.99"/>
  </r>
  <r>
    <s v="TRX169"/>
    <x v="111"/>
    <s v="CUST169"/>
    <s v="Daniel King"/>
    <s v="P169"/>
    <x v="4"/>
    <s v="Electronics"/>
    <n v="5"/>
    <n v="899.99"/>
    <s v="Debit Card"/>
    <x v="4"/>
    <s v="Standard"/>
    <d v="2022-03-05T00:00:00"/>
    <n v="4499.95"/>
  </r>
  <r>
    <s v="TRX170"/>
    <x v="112"/>
    <s v="CUST170"/>
    <s v="Michael Brown"/>
    <s v="P170"/>
    <x v="2"/>
    <s v="Furniture"/>
    <n v="2"/>
    <n v="149.99"/>
    <s v="Cash"/>
    <x v="1"/>
    <s v="Basic"/>
    <d v="2023-11-09T00:00:00"/>
    <n v="299.98"/>
  </r>
  <r>
    <s v="TRX171"/>
    <x v="113"/>
    <s v="CUST171"/>
    <s v="Linda Martin"/>
    <s v="P171"/>
    <x v="3"/>
    <s v="Electronics"/>
    <n v="2"/>
    <n v="149.99"/>
    <s v="Debit Card"/>
    <x v="3"/>
    <s v="Premium"/>
    <d v="2023-12-20T00:00:00"/>
    <n v="299.98"/>
  </r>
  <r>
    <s v="TRX172"/>
    <x v="113"/>
    <s v="CUST172"/>
    <s v="David Martinez"/>
    <s v="P172"/>
    <x v="2"/>
    <s v="Furniture"/>
    <n v="3"/>
    <n v="149.99"/>
    <s v="Debit Card"/>
    <x v="2"/>
    <s v="Standard"/>
    <d v="2021-11-22T00:00:00"/>
    <n v="449.97"/>
  </r>
  <r>
    <s v="TRX173"/>
    <x v="114"/>
    <s v="CUST173"/>
    <s v="Kevin Scott"/>
    <s v="P173"/>
    <x v="6"/>
    <s v="Furniture"/>
    <n v="2"/>
    <n v="299.99"/>
    <s v="PayPal"/>
    <x v="1"/>
    <s v="Basic"/>
    <d v="2022-06-09T00:00:00"/>
    <n v="599.98"/>
  </r>
  <r>
    <s v="TRX174"/>
    <x v="115"/>
    <s v="CUST174"/>
    <s v="Michael Brown"/>
    <s v="P174"/>
    <x v="6"/>
    <s v="Furniture"/>
    <n v="2"/>
    <n v="299.99"/>
    <s v="Cash"/>
    <x v="3"/>
    <s v="Basic"/>
    <d v="2022-07-29T00:00:00"/>
    <n v="599.98"/>
  </r>
  <r>
    <s v="TRX175"/>
    <x v="115"/>
    <s v="CUST175"/>
    <s v="Helen Roberts"/>
    <s v="P175"/>
    <x v="9"/>
    <s v="Furniture"/>
    <n v="4"/>
    <n v="199.99"/>
    <s v="Credit Card"/>
    <x v="0"/>
    <s v="Basic"/>
    <d v="2021-11-23T00:00:00"/>
    <n v="799.96"/>
  </r>
  <r>
    <s v="TRX176"/>
    <x v="116"/>
    <s v="CUST176"/>
    <s v="Robert Thomas"/>
    <s v="P176"/>
    <x v="8"/>
    <s v="Electronics"/>
    <n v="1"/>
    <n v="89.99"/>
    <s v="Credit Card"/>
    <x v="1"/>
    <s v="Premium"/>
    <d v="2022-01-30T00:00:00"/>
    <n v="89.99"/>
  </r>
  <r>
    <s v="TRX177"/>
    <x v="116"/>
    <s v="CUST177"/>
    <s v="Nancy Collins"/>
    <s v="P177"/>
    <x v="2"/>
    <s v="Furniture"/>
    <n v="5"/>
    <n v="149.99"/>
    <s v="Cash"/>
    <x v="0"/>
    <s v="Premium"/>
    <d v="2024-02-25T00:00:00"/>
    <n v="749.95"/>
  </r>
  <r>
    <s v="TRX178"/>
    <x v="117"/>
    <s v="CUST178"/>
    <s v="Mark Carter"/>
    <s v="P178"/>
    <x v="4"/>
    <s v="Electronics"/>
    <n v="1"/>
    <n v="899.99"/>
    <s v="PayPal"/>
    <x v="2"/>
    <s v="Premium"/>
    <d v="2023-05-04T00:00:00"/>
    <n v="899.99"/>
  </r>
  <r>
    <s v="TRX179"/>
    <x v="118"/>
    <s v="CUST179"/>
    <s v="Daniel King"/>
    <s v="P179"/>
    <x v="8"/>
    <s v="Electronics"/>
    <n v="2"/>
    <n v="89.99"/>
    <s v="Credit Card"/>
    <x v="1"/>
    <s v="Premium"/>
    <d v="2022-01-03T00:00:00"/>
    <n v="179.98"/>
  </r>
  <r>
    <s v="TRX180"/>
    <x v="119"/>
    <s v="CUST180"/>
    <s v="Arthur Edwards"/>
    <s v="P180"/>
    <x v="4"/>
    <s v="Electronics"/>
    <n v="1"/>
    <n v="899.99"/>
    <s v="PayPal"/>
    <x v="2"/>
    <s v="Standard"/>
    <d v="2022-07-10T00:00:00"/>
    <n v="899.99"/>
  </r>
  <r>
    <s v="TRX181"/>
    <x v="120"/>
    <s v="CUST181"/>
    <s v="Lisa Anderson"/>
    <s v="P181"/>
    <x v="3"/>
    <s v="Electronics"/>
    <n v="5"/>
    <n v="149.99"/>
    <s v="PayPal"/>
    <x v="4"/>
    <s v="Premium"/>
    <d v="2022-09-20T00:00:00"/>
    <n v="749.95"/>
  </r>
  <r>
    <s v="TRX182"/>
    <x v="120"/>
    <s v="CUST182"/>
    <s v="Michael Brown"/>
    <s v="P182"/>
    <x v="6"/>
    <s v="Furniture"/>
    <n v="3"/>
    <n v="299.99"/>
    <s v="Cash"/>
    <x v="1"/>
    <s v="Standard"/>
    <d v="2021-08-14T00:00:00"/>
    <n v="899.97"/>
  </r>
  <r>
    <s v="TRX183"/>
    <x v="121"/>
    <s v="CUST183"/>
    <s v="Karen Hill"/>
    <s v="P183"/>
    <x v="5"/>
    <s v="Electronics"/>
    <n v="3"/>
    <n v="699.99"/>
    <s v="Credit Card"/>
    <x v="0"/>
    <s v="Premium"/>
    <d v="2023-06-28T00:00:00"/>
    <n v="2099.9699999999998"/>
  </r>
  <r>
    <s v="TRX184"/>
    <x v="122"/>
    <s v="CUST184"/>
    <s v="Nancy Collins"/>
    <s v="P184"/>
    <x v="9"/>
    <s v="Furniture"/>
    <n v="5"/>
    <n v="199.99"/>
    <s v="PayPal"/>
    <x v="0"/>
    <s v="Standard"/>
    <d v="2022-03-13T00:00:00"/>
    <n v="999.95"/>
  </r>
  <r>
    <s v="TRX185"/>
    <x v="122"/>
    <s v="CUST185"/>
    <s v="Virginia Sanders"/>
    <s v="P185"/>
    <x v="0"/>
    <s v="Electronics"/>
    <n v="5"/>
    <n v="249.99"/>
    <s v="Credit Card"/>
    <x v="1"/>
    <s v="Basic"/>
    <d v="2024-02-08T00:00:00"/>
    <n v="1249.95"/>
  </r>
  <r>
    <s v="TRX186"/>
    <x v="123"/>
    <s v="CUST186"/>
    <s v="Steven Turner"/>
    <s v="P186"/>
    <x v="3"/>
    <s v="Electronics"/>
    <n v="4"/>
    <n v="149.99"/>
    <s v="Debit Card"/>
    <x v="4"/>
    <s v="Standard"/>
    <d v="2021-12-06T00:00:00"/>
    <n v="599.96"/>
  </r>
  <r>
    <s v="TRX187"/>
    <x v="123"/>
    <s v="CUST187"/>
    <s v="Michelle Rogers"/>
    <s v="P187"/>
    <x v="5"/>
    <s v="Electronics"/>
    <n v="3"/>
    <n v="699.99"/>
    <s v="Cash"/>
    <x v="2"/>
    <s v="Premium"/>
    <d v="2022-02-10T00:00:00"/>
    <n v="2099.9699999999998"/>
  </r>
  <r>
    <s v="TRX188"/>
    <x v="124"/>
    <s v="CUST188"/>
    <s v="Douglas Watson"/>
    <s v="P188"/>
    <x v="7"/>
    <s v="Appliances"/>
    <n v="1"/>
    <n v="79.989999999999995"/>
    <s v="Credit Card"/>
    <x v="1"/>
    <s v="Basic"/>
    <d v="2024-01-31T00:00:00"/>
    <n v="79.989999999999995"/>
  </r>
  <r>
    <s v="TRX189"/>
    <x v="124"/>
    <s v="CUST189"/>
    <s v="Mark Carter"/>
    <s v="P189"/>
    <x v="6"/>
    <s v="Furniture"/>
    <n v="1"/>
    <n v="299.99"/>
    <s v="Credit Card"/>
    <x v="2"/>
    <s v="Basic"/>
    <d v="2021-08-28T00:00:00"/>
    <n v="299.99"/>
  </r>
  <r>
    <s v="TRX190"/>
    <x v="125"/>
    <s v="CUST190"/>
    <s v="Betty Campbell"/>
    <s v="P190"/>
    <x v="0"/>
    <s v="Electronics"/>
    <n v="4"/>
    <n v="249.99"/>
    <s v="Credit Card"/>
    <x v="2"/>
    <s v="Premium"/>
    <d v="2021-09-21T00:00:00"/>
    <n v="999.96"/>
  </r>
  <r>
    <s v="TRX191"/>
    <x v="125"/>
    <s v="CUST191"/>
    <s v="Helen Roberts"/>
    <s v="P191"/>
    <x v="3"/>
    <s v="Electronics"/>
    <n v="2"/>
    <n v="149.99"/>
    <s v="Cash"/>
    <x v="2"/>
    <s v="Standard"/>
    <d v="2022-12-18T00:00:00"/>
    <n v="299.98"/>
  </r>
  <r>
    <s v="TRX192"/>
    <x v="125"/>
    <s v="CUST192"/>
    <s v="Sandra Phillips"/>
    <s v="P192"/>
    <x v="6"/>
    <s v="Furniture"/>
    <n v="3"/>
    <n v="299.99"/>
    <s v="Credit Card"/>
    <x v="1"/>
    <s v="Basic"/>
    <d v="2023-10-05T00:00:00"/>
    <n v="899.97"/>
  </r>
  <r>
    <s v="TRX193"/>
    <x v="126"/>
    <s v="CUST193"/>
    <s v="Lawrence Reed"/>
    <s v="P193"/>
    <x v="9"/>
    <s v="Furniture"/>
    <n v="4"/>
    <n v="199.99"/>
    <s v="Debit Card"/>
    <x v="1"/>
    <s v="Standard"/>
    <d v="2021-12-14T00:00:00"/>
    <n v="799.96"/>
  </r>
  <r>
    <s v="TRX194"/>
    <x v="126"/>
    <s v="CUST194"/>
    <s v="Elizabeth Hall"/>
    <s v="P194"/>
    <x v="6"/>
    <s v="Furniture"/>
    <n v="5"/>
    <n v="299.99"/>
    <s v="Debit Card"/>
    <x v="0"/>
    <s v="Basic"/>
    <d v="2021-08-23T00:00:00"/>
    <n v="1499.95"/>
  </r>
  <r>
    <s v="TRX195"/>
    <x v="126"/>
    <s v="CUST195"/>
    <s v="Robert Thomas"/>
    <s v="P195"/>
    <x v="2"/>
    <s v="Furniture"/>
    <n v="3"/>
    <n v="149.99"/>
    <s v="Credit Card"/>
    <x v="4"/>
    <s v="Standard"/>
    <d v="2021-07-18T00:00:00"/>
    <n v="449.97"/>
  </r>
  <r>
    <s v="TRX196"/>
    <x v="127"/>
    <s v="CUST196"/>
    <s v="Lisa Anderson"/>
    <s v="P196"/>
    <x v="1"/>
    <s v="Appliances"/>
    <n v="5"/>
    <n v="59.99"/>
    <s v="Debit Card"/>
    <x v="4"/>
    <s v="Basic"/>
    <d v="2022-03-22T00:00:00"/>
    <n v="299.95"/>
  </r>
  <r>
    <s v="TRX197"/>
    <x v="128"/>
    <s v="CUST197"/>
    <s v="Susan Green"/>
    <s v="P197"/>
    <x v="1"/>
    <s v="Appliances"/>
    <n v="4"/>
    <n v="59.99"/>
    <s v="Debit Card"/>
    <x v="4"/>
    <s v="Standard"/>
    <d v="2022-01-03T00:00:00"/>
    <n v="239.96"/>
  </r>
  <r>
    <s v="TRX198"/>
    <x v="129"/>
    <s v="CUST198"/>
    <s v="Dorothy Nelson"/>
    <s v="P198"/>
    <x v="0"/>
    <s v="Electronics"/>
    <n v="4"/>
    <n v="249.99"/>
    <s v="Debit Card"/>
    <x v="0"/>
    <s v="Premium"/>
    <d v="2023-10-18T00:00:00"/>
    <n v="999.96"/>
  </r>
  <r>
    <s v="TRX199"/>
    <x v="130"/>
    <s v="CUST199"/>
    <s v="William White"/>
    <s v="P199"/>
    <x v="4"/>
    <s v="Electronics"/>
    <n v="4"/>
    <n v="899.99"/>
    <s v="PayPal"/>
    <x v="0"/>
    <s v="Basic"/>
    <d v="2022-06-22T00:00:00"/>
    <n v="3599.96"/>
  </r>
  <r>
    <s v="TRX200"/>
    <x v="130"/>
    <s v="CUST200"/>
    <s v="Mark Carter"/>
    <s v="P200"/>
    <x v="6"/>
    <s v="Furniture"/>
    <n v="3"/>
    <n v="299.99"/>
    <s v="Debit Card"/>
    <x v="3"/>
    <s v="Standard"/>
    <d v="2023-01-26T00:00:00"/>
    <n v="899.97"/>
  </r>
  <r>
    <s v="TRX201"/>
    <x v="130"/>
    <s v="CUST201"/>
    <s v="Douglas Watson"/>
    <s v="P201"/>
    <x v="5"/>
    <s v="Electronics"/>
    <n v="2"/>
    <n v="699.99"/>
    <s v="Debit Card"/>
    <x v="0"/>
    <s v="Premium"/>
    <d v="2022-04-30T00:00:00"/>
    <n v="1399.98"/>
  </r>
  <r>
    <s v="TRX202"/>
    <x v="131"/>
    <s v="CUST202"/>
    <s v="Karen Hill"/>
    <s v="P202"/>
    <x v="5"/>
    <s v="Electronics"/>
    <n v="4"/>
    <n v="699.99"/>
    <s v="Debit Card"/>
    <x v="3"/>
    <s v="Premium"/>
    <d v="2022-05-11T00:00:00"/>
    <n v="2799.96"/>
  </r>
  <r>
    <s v="TRX203"/>
    <x v="131"/>
    <s v="CUST203"/>
    <s v="Edward Mitchell"/>
    <s v="P203"/>
    <x v="8"/>
    <s v="Electronics"/>
    <n v="2"/>
    <n v="89.99"/>
    <s v="Debit Card"/>
    <x v="1"/>
    <s v="Basic"/>
    <d v="2022-08-04T00:00:00"/>
    <n v="179.98"/>
  </r>
  <r>
    <s v="TRX204"/>
    <x v="131"/>
    <s v="CUST204"/>
    <s v="Michael Brown"/>
    <s v="P204"/>
    <x v="8"/>
    <s v="Electronics"/>
    <n v="3"/>
    <n v="89.99"/>
    <s v="Debit Card"/>
    <x v="1"/>
    <s v="Premium"/>
    <d v="2024-01-16T00:00:00"/>
    <n v="269.97000000000003"/>
  </r>
  <r>
    <s v="TRX205"/>
    <x v="132"/>
    <s v="CUST205"/>
    <s v="Arthur Edwards"/>
    <s v="P205"/>
    <x v="1"/>
    <s v="Appliances"/>
    <n v="1"/>
    <n v="59.99"/>
    <s v="Debit Card"/>
    <x v="0"/>
    <s v="Standard"/>
    <d v="2023-04-29T00:00:00"/>
    <n v="59.99"/>
  </r>
  <r>
    <s v="TRX206"/>
    <x v="133"/>
    <s v="CUST206"/>
    <s v="Ruth Brooks"/>
    <s v="P206"/>
    <x v="2"/>
    <s v="Furniture"/>
    <n v="3"/>
    <n v="149.99"/>
    <s v="Debit Card"/>
    <x v="2"/>
    <s v="Premium"/>
    <d v="2022-01-03T00:00:00"/>
    <n v="449.97"/>
  </r>
  <r>
    <s v="TRX207"/>
    <x v="133"/>
    <s v="CUST207"/>
    <s v="Virginia Sanders"/>
    <s v="P207"/>
    <x v="6"/>
    <s v="Furniture"/>
    <n v="5"/>
    <n v="299.99"/>
    <s v="Credit Card"/>
    <x v="1"/>
    <s v="Basic"/>
    <d v="2023-02-02T00:00:00"/>
    <n v="1499.95"/>
  </r>
  <r>
    <s v="TRX208"/>
    <x v="134"/>
    <s v="CUST208"/>
    <s v="Sharon Butler"/>
    <s v="P208"/>
    <x v="1"/>
    <s v="Appliances"/>
    <n v="5"/>
    <n v="59.99"/>
    <s v="Debit Card"/>
    <x v="0"/>
    <s v="Standard"/>
    <d v="2023-09-08T00:00:00"/>
    <n v="299.95"/>
  </r>
  <r>
    <s v="TRX209"/>
    <x v="135"/>
    <s v="CUST209"/>
    <s v="Nancy Collins"/>
    <s v="P209"/>
    <x v="7"/>
    <s v="Appliances"/>
    <n v="3"/>
    <n v="79.989999999999995"/>
    <s v="Cash"/>
    <x v="4"/>
    <s v="Premium"/>
    <d v="2021-08-28T00:00:00"/>
    <n v="239.97"/>
  </r>
  <r>
    <s v="TRX210"/>
    <x v="136"/>
    <s v="CUST210"/>
    <s v="Kevin Scott"/>
    <s v="P210"/>
    <x v="9"/>
    <s v="Furniture"/>
    <n v="3"/>
    <n v="199.99"/>
    <s v="Cash"/>
    <x v="0"/>
    <s v="Basic"/>
    <d v="2022-06-23T00:00:00"/>
    <n v="599.97"/>
  </r>
  <r>
    <s v="TRX211"/>
    <x v="136"/>
    <s v="CUST211"/>
    <s v="Paul Baker"/>
    <s v="P211"/>
    <x v="8"/>
    <s v="Electronics"/>
    <n v="2"/>
    <n v="89.99"/>
    <s v="PayPal"/>
    <x v="0"/>
    <s v="Basic"/>
    <d v="2023-11-27T00:00:00"/>
    <n v="179.98"/>
  </r>
  <r>
    <s v="TRX212"/>
    <x v="137"/>
    <s v="CUST212"/>
    <s v="Richard Lee"/>
    <s v="P212"/>
    <x v="2"/>
    <s v="Furniture"/>
    <n v="2"/>
    <n v="149.99"/>
    <s v="Cash"/>
    <x v="1"/>
    <s v="Premium"/>
    <d v="2022-06-16T00:00:00"/>
    <n v="299.98"/>
  </r>
  <r>
    <s v="TRX213"/>
    <x v="138"/>
    <s v="CUST213"/>
    <s v="Edward Mitchell"/>
    <s v="P213"/>
    <x v="5"/>
    <s v="Electronics"/>
    <n v="5"/>
    <n v="699.99"/>
    <s v="PayPal"/>
    <x v="1"/>
    <s v="Premium"/>
    <d v="2024-03-01T00:00:00"/>
    <n v="3499.95"/>
  </r>
  <r>
    <s v="TRX214"/>
    <x v="138"/>
    <s v="CUST214"/>
    <s v="Michael Brown"/>
    <s v="P214"/>
    <x v="2"/>
    <s v="Furniture"/>
    <n v="3"/>
    <n v="149.99"/>
    <s v="PayPal"/>
    <x v="0"/>
    <s v="Standard"/>
    <d v="2022-03-13T00:00:00"/>
    <n v="449.97"/>
  </r>
  <r>
    <s v="TRX215"/>
    <x v="139"/>
    <s v="CUST215"/>
    <s v="Barbara Young"/>
    <s v="P215"/>
    <x v="4"/>
    <s v="Electronics"/>
    <n v="3"/>
    <n v="899.99"/>
    <s v="Cash"/>
    <x v="4"/>
    <s v="Standard"/>
    <d v="2022-02-21T00:00:00"/>
    <n v="2699.97"/>
  </r>
  <r>
    <s v="TRX216"/>
    <x v="139"/>
    <s v="CUST216"/>
    <s v="Frank Torres"/>
    <s v="P216"/>
    <x v="9"/>
    <s v="Furniture"/>
    <n v="3"/>
    <n v="199.99"/>
    <s v="Cash"/>
    <x v="3"/>
    <s v="Premium"/>
    <d v="2022-09-19T00:00:00"/>
    <n v="599.97"/>
  </r>
  <r>
    <s v="TRX217"/>
    <x v="140"/>
    <s v="CUST217"/>
    <s v="Charles Allen"/>
    <s v="P217"/>
    <x v="6"/>
    <s v="Furniture"/>
    <n v="5"/>
    <n v="299.99"/>
    <s v="Cash"/>
    <x v="3"/>
    <s v="Standard"/>
    <d v="2023-08-04T00:00:00"/>
    <n v="1499.95"/>
  </r>
  <r>
    <s v="TRX218"/>
    <x v="140"/>
    <s v="CUST218"/>
    <s v="Sharon Butler"/>
    <s v="P218"/>
    <x v="5"/>
    <s v="Electronics"/>
    <n v="1"/>
    <n v="699.99"/>
    <s v="PayPal"/>
    <x v="3"/>
    <s v="Basic"/>
    <d v="2023-01-08T00:00:00"/>
    <n v="699.99"/>
  </r>
  <r>
    <s v="TRX219"/>
    <x v="141"/>
    <s v="CUST219"/>
    <s v="Ruth Brooks"/>
    <s v="P219"/>
    <x v="5"/>
    <s v="Electronics"/>
    <n v="1"/>
    <n v="699.99"/>
    <s v="Cash"/>
    <x v="2"/>
    <s v="Premium"/>
    <d v="2022-01-22T00:00:00"/>
    <n v="699.99"/>
  </r>
  <r>
    <s v="TRX220"/>
    <x v="141"/>
    <s v="CUST220"/>
    <s v="Arthur Edwards"/>
    <s v="P220"/>
    <x v="2"/>
    <s v="Furniture"/>
    <n v="4"/>
    <n v="149.99"/>
    <s v="PayPal"/>
    <x v="2"/>
    <s v="Premium"/>
    <d v="2021-08-04T00:00:00"/>
    <n v="599.96"/>
  </r>
  <r>
    <s v="TRX221"/>
    <x v="141"/>
    <s v="CUST221"/>
    <s v="Elizabeth Hall"/>
    <s v="P221"/>
    <x v="8"/>
    <s v="Electronics"/>
    <n v="5"/>
    <n v="89.99"/>
    <s v="PayPal"/>
    <x v="3"/>
    <s v="Premium"/>
    <d v="2023-08-02T00:00:00"/>
    <n v="449.95"/>
  </r>
  <r>
    <s v="TRX222"/>
    <x v="142"/>
    <s v="CUST222"/>
    <s v="Steven Turner"/>
    <s v="P222"/>
    <x v="9"/>
    <s v="Furniture"/>
    <n v="2"/>
    <n v="199.99"/>
    <s v="Cash"/>
    <x v="0"/>
    <s v="Premium"/>
    <d v="2022-01-12T00:00:00"/>
    <n v="399.98"/>
  </r>
  <r>
    <s v="TRX223"/>
    <x v="143"/>
    <s v="CUST223"/>
    <s v="Richard Lee"/>
    <s v="P223"/>
    <x v="1"/>
    <s v="Appliances"/>
    <n v="4"/>
    <n v="59.99"/>
    <s v="Cash"/>
    <x v="3"/>
    <s v="Standard"/>
    <d v="2023-05-24T00:00:00"/>
    <n v="239.96"/>
  </r>
  <r>
    <s v="TRX224"/>
    <x v="143"/>
    <s v="CUST224"/>
    <s v="Virginia Sanders"/>
    <s v="P224"/>
    <x v="6"/>
    <s v="Furniture"/>
    <n v="2"/>
    <n v="299.99"/>
    <s v="PayPal"/>
    <x v="1"/>
    <s v="Basic"/>
    <d v="2022-01-15T00:00:00"/>
    <n v="599.98"/>
  </r>
  <r>
    <s v="TRX225"/>
    <x v="144"/>
    <s v="CUST225"/>
    <s v="Charles Allen"/>
    <s v="P225"/>
    <x v="2"/>
    <s v="Furniture"/>
    <n v="2"/>
    <n v="149.99"/>
    <s v="Cash"/>
    <x v="0"/>
    <s v="Basic"/>
    <d v="2023-05-22T00:00:00"/>
    <n v="299.98"/>
  </r>
  <r>
    <s v="TRX226"/>
    <x v="145"/>
    <s v="CUST226"/>
    <s v="Lawrence Reed"/>
    <s v="P226"/>
    <x v="5"/>
    <s v="Electronics"/>
    <n v="5"/>
    <n v="699.99"/>
    <s v="Debit Card"/>
    <x v="4"/>
    <s v="Premium"/>
    <d v="2023-08-23T00:00:00"/>
    <n v="3499.95"/>
  </r>
  <r>
    <s v="TRX227"/>
    <x v="146"/>
    <s v="CUST227"/>
    <s v="Dennis Gray"/>
    <s v="P227"/>
    <x v="1"/>
    <s v="Appliances"/>
    <n v="5"/>
    <n v="59.99"/>
    <s v="Cash"/>
    <x v="3"/>
    <s v="Premium"/>
    <d v="2023-12-31T00:00:00"/>
    <n v="299.95"/>
  </r>
  <r>
    <s v="TRX228"/>
    <x v="147"/>
    <s v="CUST228"/>
    <s v="Paul Baker"/>
    <s v="P228"/>
    <x v="8"/>
    <s v="Electronics"/>
    <n v="2"/>
    <n v="89.99"/>
    <s v="Credit Card"/>
    <x v="3"/>
    <s v="Premium"/>
    <d v="2024-01-04T00:00:00"/>
    <n v="179.98"/>
  </r>
  <r>
    <s v="TRX229"/>
    <x v="147"/>
    <s v="CUST229"/>
    <s v="Helen Roberts"/>
    <s v="P229"/>
    <x v="0"/>
    <s v="Electronics"/>
    <n v="5"/>
    <n v="249.99"/>
    <s v="Cash"/>
    <x v="4"/>
    <s v="Standard"/>
    <d v="2021-12-10T00:00:00"/>
    <n v="1249.95"/>
  </r>
  <r>
    <s v="TRX230"/>
    <x v="148"/>
    <s v="CUST230"/>
    <s v="Lawrence Reed"/>
    <s v="P230"/>
    <x v="2"/>
    <s v="Furniture"/>
    <n v="2"/>
    <n v="149.99"/>
    <s v="PayPal"/>
    <x v="0"/>
    <s v="Premium"/>
    <d v="2022-03-12T00:00:00"/>
    <n v="299.98"/>
  </r>
  <r>
    <s v="TRX231"/>
    <x v="148"/>
    <s v="CUST231"/>
    <s v="Harry Morgan"/>
    <s v="P231"/>
    <x v="4"/>
    <s v="Electronics"/>
    <n v="5"/>
    <n v="899.99"/>
    <s v="PayPal"/>
    <x v="4"/>
    <s v="Premium"/>
    <d v="2024-04-07T00:00:00"/>
    <n v="4499.95"/>
  </r>
  <r>
    <s v="TRX232"/>
    <x v="148"/>
    <s v="CUST232"/>
    <s v="Charles Allen"/>
    <s v="P232"/>
    <x v="2"/>
    <s v="Furniture"/>
    <n v="4"/>
    <n v="149.99"/>
    <s v="Cash"/>
    <x v="0"/>
    <s v="Standard"/>
    <d v="2023-12-03T00:00:00"/>
    <n v="599.96"/>
  </r>
  <r>
    <s v="TRX233"/>
    <x v="149"/>
    <s v="CUST233"/>
    <s v="Harry Morgan"/>
    <s v="P233"/>
    <x v="0"/>
    <s v="Electronics"/>
    <n v="1"/>
    <n v="249.99"/>
    <s v="Cash"/>
    <x v="2"/>
    <s v="Standard"/>
    <d v="2023-07-10T00:00:00"/>
    <n v="249.99"/>
  </r>
  <r>
    <s v="TRX234"/>
    <x v="150"/>
    <s v="CUST234"/>
    <s v="Frank Torres"/>
    <s v="P234"/>
    <x v="1"/>
    <s v="Appliances"/>
    <n v="2"/>
    <n v="59.99"/>
    <s v="Credit Card"/>
    <x v="3"/>
    <s v="Basic"/>
    <d v="2023-09-24T00:00:00"/>
    <n v="119.98"/>
  </r>
  <r>
    <s v="TRX235"/>
    <x v="151"/>
    <s v="CUST235"/>
    <s v="Emma Wilson"/>
    <s v="P235"/>
    <x v="2"/>
    <s v="Furniture"/>
    <n v="2"/>
    <n v="149.99"/>
    <s v="Cash"/>
    <x v="3"/>
    <s v="Premium"/>
    <d v="2023-11-03T00:00:00"/>
    <n v="299.98"/>
  </r>
  <r>
    <s v="TRX236"/>
    <x v="151"/>
    <s v="CUST236"/>
    <s v="Sharon Butler"/>
    <s v="P236"/>
    <x v="4"/>
    <s v="Electronics"/>
    <n v="3"/>
    <n v="899.99"/>
    <s v="Debit Card"/>
    <x v="2"/>
    <s v="Premium"/>
    <d v="2022-11-11T00:00:00"/>
    <n v="2699.97"/>
  </r>
  <r>
    <s v="TRX237"/>
    <x v="151"/>
    <s v="CUST237"/>
    <s v="Dorothy Nelson"/>
    <s v="P237"/>
    <x v="4"/>
    <s v="Electronics"/>
    <n v="3"/>
    <n v="899.99"/>
    <s v="PayPal"/>
    <x v="2"/>
    <s v="Basic"/>
    <d v="2023-02-18T00:00:00"/>
    <n v="2699.97"/>
  </r>
  <r>
    <s v="TRX238"/>
    <x v="152"/>
    <s v="CUST238"/>
    <s v="Paul Baker"/>
    <s v="P238"/>
    <x v="6"/>
    <s v="Furniture"/>
    <n v="3"/>
    <n v="299.99"/>
    <s v="Credit Card"/>
    <x v="3"/>
    <s v="Premium"/>
    <d v="2023-11-04T00:00:00"/>
    <n v="899.97"/>
  </r>
  <r>
    <s v="TRX239"/>
    <x v="153"/>
    <s v="CUST239"/>
    <s v="John Smith"/>
    <s v="P239"/>
    <x v="2"/>
    <s v="Furniture"/>
    <n v="4"/>
    <n v="149.99"/>
    <s v="PayPal"/>
    <x v="3"/>
    <s v="Standard"/>
    <d v="2021-12-30T00:00:00"/>
    <n v="599.96"/>
  </r>
  <r>
    <s v="TRX240"/>
    <x v="154"/>
    <s v="CUST240"/>
    <s v="Cynthia Price"/>
    <s v="P240"/>
    <x v="7"/>
    <s v="Appliances"/>
    <n v="4"/>
    <n v="79.989999999999995"/>
    <s v="Credit Card"/>
    <x v="0"/>
    <s v="Basic"/>
    <d v="2023-12-28T00:00:00"/>
    <n v="319.95999999999998"/>
  </r>
  <r>
    <s v="TRX241"/>
    <x v="155"/>
    <s v="CUST241"/>
    <s v="Margaret Wright"/>
    <s v="P241"/>
    <x v="8"/>
    <s v="Electronics"/>
    <n v="5"/>
    <n v="89.99"/>
    <s v="PayPal"/>
    <x v="1"/>
    <s v="Basic"/>
    <d v="2022-05-23T00:00:00"/>
    <n v="449.95"/>
  </r>
  <r>
    <s v="TRX242"/>
    <x v="156"/>
    <s v="CUST242"/>
    <s v="Virginia Sanders"/>
    <s v="P242"/>
    <x v="2"/>
    <s v="Furniture"/>
    <n v="3"/>
    <n v="149.99"/>
    <s v="PayPal"/>
    <x v="0"/>
    <s v="Standard"/>
    <d v="2023-09-02T00:00:00"/>
    <n v="449.97"/>
  </r>
  <r>
    <s v="TRX243"/>
    <x v="156"/>
    <s v="CUST243"/>
    <s v="Karen Hill"/>
    <s v="P243"/>
    <x v="8"/>
    <s v="Electronics"/>
    <n v="2"/>
    <n v="89.99"/>
    <s v="Debit Card"/>
    <x v="3"/>
    <s v="Premium"/>
    <d v="2021-11-22T00:00:00"/>
    <n v="179.98"/>
  </r>
  <r>
    <s v="TRX244"/>
    <x v="157"/>
    <s v="CUST244"/>
    <s v="Cynthia Price"/>
    <s v="P244"/>
    <x v="5"/>
    <s v="Electronics"/>
    <n v="2"/>
    <n v="699.99"/>
    <s v="PayPal"/>
    <x v="2"/>
    <s v="Standard"/>
    <d v="2022-02-26T00:00:00"/>
    <n v="1399.98"/>
  </r>
  <r>
    <s v="TRX245"/>
    <x v="158"/>
    <s v="CUST245"/>
    <s v="Edward Mitchell"/>
    <s v="P245"/>
    <x v="4"/>
    <s v="Electronics"/>
    <n v="3"/>
    <n v="899.99"/>
    <s v="Cash"/>
    <x v="0"/>
    <s v="Standard"/>
    <d v="2023-01-27T00:00:00"/>
    <n v="2699.97"/>
  </r>
  <r>
    <s v="TRX246"/>
    <x v="159"/>
    <s v="CUST246"/>
    <s v="Virginia Sanders"/>
    <s v="P246"/>
    <x v="7"/>
    <s v="Appliances"/>
    <n v="3"/>
    <n v="79.989999999999995"/>
    <s v="Credit Card"/>
    <x v="2"/>
    <s v="Basic"/>
    <d v="2021-11-11T00:00:00"/>
    <n v="239.97"/>
  </r>
  <r>
    <s v="TRX247"/>
    <x v="160"/>
    <s v="CUST247"/>
    <s v="Robert Thomas"/>
    <s v="P247"/>
    <x v="8"/>
    <s v="Electronics"/>
    <n v="1"/>
    <n v="89.99"/>
    <s v="Debit Card"/>
    <x v="4"/>
    <s v="Basic"/>
    <d v="2024-02-24T00:00:00"/>
    <n v="89.99"/>
  </r>
  <r>
    <s v="TRX248"/>
    <x v="161"/>
    <s v="CUST248"/>
    <s v="Douglas Watson"/>
    <s v="P248"/>
    <x v="5"/>
    <s v="Electronics"/>
    <n v="3"/>
    <n v="699.99"/>
    <s v="PayPal"/>
    <x v="2"/>
    <s v="Basic"/>
    <d v="2022-12-14T00:00:00"/>
    <n v="2099.9699999999998"/>
  </r>
  <r>
    <s v="TRX249"/>
    <x v="161"/>
    <s v="CUST249"/>
    <s v="Lawrence Reed"/>
    <s v="P249"/>
    <x v="8"/>
    <s v="Electronics"/>
    <n v="2"/>
    <n v="89.99"/>
    <s v="Debit Card"/>
    <x v="4"/>
    <s v="Basic"/>
    <d v="2023-06-11T00:00:00"/>
    <n v="179.98"/>
  </r>
  <r>
    <s v="TRX250"/>
    <x v="161"/>
    <s v="CUST250"/>
    <s v="Steven Turner"/>
    <s v="P250"/>
    <x v="8"/>
    <s v="Electronics"/>
    <n v="3"/>
    <n v="89.99"/>
    <s v="Debit Card"/>
    <x v="2"/>
    <s v="Premium"/>
    <d v="2022-11-13T00:00:00"/>
    <n v="269.9700000000000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4" cacheId="6"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chartFormat="37">
  <location ref="A42:A43" firstHeaderRow="1" firstDataRow="1" firstDataCol="0"/>
  <pivotFields count="16">
    <pivotField showAll="0"/>
    <pivotField numFmtId="14" showAll="0">
      <items count="15">
        <item x="0"/>
        <item x="1"/>
        <item x="2"/>
        <item x="3"/>
        <item x="4"/>
        <item x="5"/>
        <item x="6"/>
        <item x="7"/>
        <item x="8"/>
        <item x="9"/>
        <item x="10"/>
        <item x="11"/>
        <item x="12"/>
        <item x="13"/>
        <item t="default"/>
      </items>
    </pivotField>
    <pivotField showAll="0"/>
    <pivotField showAll="0"/>
    <pivotField showAll="0"/>
    <pivotField showAll="0">
      <items count="11">
        <item x="1"/>
        <item x="2"/>
        <item x="7"/>
        <item x="6"/>
        <item x="3"/>
        <item x="8"/>
        <item x="4"/>
        <item x="0"/>
        <item x="9"/>
        <item x="5"/>
        <item t="default"/>
      </items>
    </pivotField>
    <pivotField showAll="0"/>
    <pivotField showAll="0"/>
    <pivotField showAll="0"/>
    <pivotField showAll="0"/>
    <pivotField showAll="0">
      <items count="6">
        <item x="0"/>
        <item x="4"/>
        <item x="2"/>
        <item x="1"/>
        <item x="3"/>
        <item t="default"/>
      </items>
    </pivotField>
    <pivotField showAll="0"/>
    <pivotField numFmtId="14" showAll="0"/>
    <pivotField dataField="1" showAll="0"/>
    <pivotField showAll="0" defaultSubtotal="0">
      <items count="6">
        <item sd="0" x="0"/>
        <item sd="0" x="1"/>
        <item sd="0" x="2"/>
        <item sd="0" x="3"/>
        <item sd="0" x="4"/>
        <item sd="0" x="5"/>
      </items>
    </pivotField>
    <pivotField showAll="0" defaultSubtotal="0">
      <items count="4">
        <item sd="0" x="0"/>
        <item sd="0" x="1"/>
        <item sd="0" x="2"/>
        <item sd="0" x="3"/>
      </items>
    </pivotField>
  </pivotFields>
  <rowItems count="1">
    <i/>
  </rowItems>
  <colItems count="1">
    <i/>
  </colItems>
  <dataFields count="1">
    <dataField name="Sum of Total_Amount" fld="13" baseField="0" baseItem="0"/>
  </dataFields>
  <formats count="12">
    <format dxfId="74">
      <pivotArea type="all" dataOnly="0" outline="0" fieldPosition="0"/>
    </format>
    <format dxfId="73">
      <pivotArea outline="0" collapsedLevelsAreSubtotals="1" fieldPosition="0"/>
    </format>
    <format dxfId="72">
      <pivotArea field="1" type="button" dataOnly="0" labelOnly="1" outline="0"/>
    </format>
    <format dxfId="71">
      <pivotArea dataOnly="0" labelOnly="1" outline="0" axis="axisValues" fieldPosition="0"/>
    </format>
    <format dxfId="70">
      <pivotArea dataOnly="0" labelOnly="1" grandRow="1" outline="0" fieldPosition="0"/>
    </format>
    <format dxfId="69">
      <pivotArea dataOnly="0" labelOnly="1" outline="0" axis="axisValues" fieldPosition="0"/>
    </format>
    <format dxfId="68">
      <pivotArea type="all" dataOnly="0" outline="0" fieldPosition="0"/>
    </format>
    <format dxfId="67">
      <pivotArea outline="0" collapsedLevelsAreSubtotals="1" fieldPosition="0"/>
    </format>
    <format dxfId="66">
      <pivotArea field="1" type="button" dataOnly="0" labelOnly="1" outline="0"/>
    </format>
    <format dxfId="65">
      <pivotArea dataOnly="0" labelOnly="1" outline="0" axis="axisValues" fieldPosition="0"/>
    </format>
    <format dxfId="64">
      <pivotArea dataOnly="0" labelOnly="1" grandRow="1" outline="0" fieldPosition="0"/>
    </format>
    <format dxfId="63">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3" cacheId="6"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chartFormat="37">
  <location ref="A28:B39" firstHeaderRow="1" firstDataRow="1" firstDataCol="1"/>
  <pivotFields count="16">
    <pivotField showAll="0"/>
    <pivotField numFmtId="14" showAll="0">
      <items count="15">
        <item x="0"/>
        <item x="1"/>
        <item x="2"/>
        <item x="3"/>
        <item x="4"/>
        <item x="5"/>
        <item x="6"/>
        <item x="7"/>
        <item x="8"/>
        <item x="9"/>
        <item x="10"/>
        <item x="11"/>
        <item x="12"/>
        <item x="13"/>
        <item t="default"/>
      </items>
    </pivotField>
    <pivotField showAll="0"/>
    <pivotField showAll="0"/>
    <pivotField showAll="0"/>
    <pivotField axis="axisRow" showAll="0">
      <items count="11">
        <item x="1"/>
        <item x="2"/>
        <item x="7"/>
        <item x="6"/>
        <item x="3"/>
        <item x="8"/>
        <item x="4"/>
        <item x="0"/>
        <item x="9"/>
        <item x="5"/>
        <item t="default"/>
      </items>
    </pivotField>
    <pivotField showAll="0"/>
    <pivotField showAll="0"/>
    <pivotField showAll="0"/>
    <pivotField showAll="0"/>
    <pivotField showAll="0">
      <items count="6">
        <item x="0"/>
        <item x="4"/>
        <item x="2"/>
        <item x="1"/>
        <item x="3"/>
        <item t="default"/>
      </items>
    </pivotField>
    <pivotField showAll="0"/>
    <pivotField numFmtId="14" showAll="0"/>
    <pivotField dataField="1" showAll="0"/>
    <pivotField showAll="0" defaultSubtotal="0">
      <items count="6">
        <item sd="0" x="0"/>
        <item sd="0" x="1"/>
        <item sd="0" x="2"/>
        <item sd="0" x="3"/>
        <item sd="0" x="4"/>
        <item sd="0" x="5"/>
      </items>
    </pivotField>
    <pivotField showAll="0" defaultSubtotal="0">
      <items count="4">
        <item sd="0" x="0"/>
        <item sd="0" x="1"/>
        <item sd="0" x="2"/>
        <item sd="0" x="3"/>
      </items>
    </pivotField>
  </pivotFields>
  <rowFields count="1">
    <field x="5"/>
  </rowFields>
  <rowItems count="11">
    <i>
      <x/>
    </i>
    <i>
      <x v="1"/>
    </i>
    <i>
      <x v="2"/>
    </i>
    <i>
      <x v="3"/>
    </i>
    <i>
      <x v="4"/>
    </i>
    <i>
      <x v="5"/>
    </i>
    <i>
      <x v="6"/>
    </i>
    <i>
      <x v="7"/>
    </i>
    <i>
      <x v="8"/>
    </i>
    <i>
      <x v="9"/>
    </i>
    <i t="grand">
      <x/>
    </i>
  </rowItems>
  <colItems count="1">
    <i/>
  </colItems>
  <dataFields count="1">
    <dataField name="Sum of Total_Amount" fld="13" showDataAs="percentOfCol" baseField="0" baseItem="0" numFmtId="10"/>
  </dataFields>
  <formats count="13">
    <format dxfId="87">
      <pivotArea type="all" dataOnly="0" outline="0" fieldPosition="0"/>
    </format>
    <format dxfId="86">
      <pivotArea outline="0" collapsedLevelsAreSubtotals="1" fieldPosition="0"/>
    </format>
    <format dxfId="85">
      <pivotArea field="1" type="button" dataOnly="0" labelOnly="1" outline="0"/>
    </format>
    <format dxfId="84">
      <pivotArea dataOnly="0" labelOnly="1" outline="0" axis="axisValues" fieldPosition="0"/>
    </format>
    <format dxfId="83">
      <pivotArea dataOnly="0" labelOnly="1" grandRow="1" outline="0" fieldPosition="0"/>
    </format>
    <format dxfId="82">
      <pivotArea dataOnly="0" labelOnly="1" outline="0" axis="axisValues" fieldPosition="0"/>
    </format>
    <format dxfId="81">
      <pivotArea type="all" dataOnly="0" outline="0" fieldPosition="0"/>
    </format>
    <format dxfId="80">
      <pivotArea outline="0" collapsedLevelsAreSubtotals="1" fieldPosition="0"/>
    </format>
    <format dxfId="79">
      <pivotArea field="1" type="button" dataOnly="0" labelOnly="1" outline="0"/>
    </format>
    <format dxfId="78">
      <pivotArea dataOnly="0" labelOnly="1" outline="0" axis="axisValues" fieldPosition="0"/>
    </format>
    <format dxfId="77">
      <pivotArea dataOnly="0" labelOnly="1" grandRow="1" outline="0" fieldPosition="0"/>
    </format>
    <format dxfId="76">
      <pivotArea dataOnly="0" labelOnly="1" outline="0" axis="axisValues" fieldPosition="0"/>
    </format>
    <format dxfId="75">
      <pivotArea outline="0" fieldPosition="0">
        <references count="1">
          <reference field="4294967294" count="1">
            <x v="0"/>
          </reference>
        </references>
      </pivotArea>
    </format>
  </formats>
  <chartFormats count="3">
    <chartFormat chart="33" format="0" series="1">
      <pivotArea type="data" outline="0" fieldPosition="0">
        <references count="1">
          <reference field="4294967294" count="1" selected="0">
            <x v="0"/>
          </reference>
        </references>
      </pivotArea>
    </chartFormat>
    <chartFormat chart="34" format="1" series="1">
      <pivotArea type="data" outline="0" fieldPosition="0">
        <references count="1">
          <reference field="4294967294" count="1" selected="0">
            <x v="0"/>
          </reference>
        </references>
      </pivotArea>
    </chartFormat>
    <chartFormat chart="3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2" cacheId="6"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chartFormat="24">
  <location ref="A19:B25" firstHeaderRow="1" firstDataRow="1" firstDataCol="1"/>
  <pivotFields count="16">
    <pivotField showAll="0"/>
    <pivotField numFmtId="14" showAll="0">
      <items count="15">
        <item x="0"/>
        <item x="1"/>
        <item x="2"/>
        <item x="3"/>
        <item x="4"/>
        <item x="5"/>
        <item x="6"/>
        <item x="7"/>
        <item x="8"/>
        <item x="9"/>
        <item x="10"/>
        <item x="11"/>
        <item x="12"/>
        <item x="13"/>
        <item t="default"/>
      </items>
    </pivotField>
    <pivotField showAll="0"/>
    <pivotField showAll="0"/>
    <pivotField showAll="0"/>
    <pivotField showAll="0">
      <items count="11">
        <item x="1"/>
        <item x="2"/>
        <item x="7"/>
        <item x="6"/>
        <item x="3"/>
        <item x="8"/>
        <item x="4"/>
        <item x="0"/>
        <item x="9"/>
        <item x="5"/>
        <item t="default"/>
      </items>
    </pivotField>
    <pivotField showAll="0"/>
    <pivotField showAll="0"/>
    <pivotField showAll="0"/>
    <pivotField showAll="0"/>
    <pivotField axis="axisRow" showAll="0">
      <items count="6">
        <item x="0"/>
        <item x="4"/>
        <item x="2"/>
        <item x="1"/>
        <item x="3"/>
        <item t="default"/>
      </items>
    </pivotField>
    <pivotField showAll="0"/>
    <pivotField numFmtId="14" showAll="0"/>
    <pivotField dataField="1" showAll="0"/>
    <pivotField showAll="0" defaultSubtotal="0">
      <items count="6">
        <item sd="0" x="0"/>
        <item sd="0" x="1"/>
        <item sd="0" x="2"/>
        <item sd="0" x="3"/>
        <item sd="0" x="4"/>
        <item sd="0" x="5"/>
      </items>
    </pivotField>
    <pivotField showAll="0" defaultSubtotal="0">
      <items count="4">
        <item sd="0" x="0"/>
        <item sd="0" x="1"/>
        <item sd="0" x="2"/>
        <item sd="0" x="3"/>
      </items>
    </pivotField>
  </pivotFields>
  <rowFields count="1">
    <field x="10"/>
  </rowFields>
  <rowItems count="6">
    <i>
      <x/>
    </i>
    <i>
      <x v="1"/>
    </i>
    <i>
      <x v="2"/>
    </i>
    <i>
      <x v="3"/>
    </i>
    <i>
      <x v="4"/>
    </i>
    <i t="grand">
      <x/>
    </i>
  </rowItems>
  <colItems count="1">
    <i/>
  </colItems>
  <dataFields count="1">
    <dataField name="Sum of Total_Amount" fld="13" baseField="0" baseItem="0"/>
  </dataFields>
  <formats count="12">
    <format dxfId="99">
      <pivotArea type="all" dataOnly="0" outline="0" fieldPosition="0"/>
    </format>
    <format dxfId="98">
      <pivotArea outline="0" collapsedLevelsAreSubtotals="1" fieldPosition="0"/>
    </format>
    <format dxfId="97">
      <pivotArea field="1" type="button" dataOnly="0" labelOnly="1" outline="0"/>
    </format>
    <format dxfId="96">
      <pivotArea dataOnly="0" labelOnly="1" outline="0" axis="axisValues" fieldPosition="0"/>
    </format>
    <format dxfId="95">
      <pivotArea dataOnly="0" labelOnly="1" grandRow="1" outline="0" fieldPosition="0"/>
    </format>
    <format dxfId="94">
      <pivotArea dataOnly="0" labelOnly="1" outline="0" axis="axisValues" fieldPosition="0"/>
    </format>
    <format dxfId="93">
      <pivotArea type="all" dataOnly="0" outline="0" fieldPosition="0"/>
    </format>
    <format dxfId="92">
      <pivotArea outline="0" collapsedLevelsAreSubtotals="1" fieldPosition="0"/>
    </format>
    <format dxfId="91">
      <pivotArea field="1" type="button" dataOnly="0" labelOnly="1" outline="0"/>
    </format>
    <format dxfId="90">
      <pivotArea dataOnly="0" labelOnly="1" outline="0" axis="axisValues" fieldPosition="0"/>
    </format>
    <format dxfId="89">
      <pivotArea dataOnly="0" labelOnly="1" grandRow="1" outline="0" fieldPosition="0"/>
    </format>
    <format dxfId="88">
      <pivotArea dataOnly="0" labelOnly="1" outline="0" axis="axisValues" fieldPosition="0"/>
    </format>
  </formats>
  <chartFormats count="1">
    <chartFormat chart="23"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1" cacheId="6"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chartFormat="5">
  <location ref="A2:B15" firstHeaderRow="1" firstDataRow="1" firstDataCol="1"/>
  <pivotFields count="16">
    <pivotField showAll="0"/>
    <pivotField axis="axisRow" numFmtId="14" showAll="0">
      <items count="15">
        <item x="0"/>
        <item x="1"/>
        <item x="2"/>
        <item x="3"/>
        <item x="4"/>
        <item x="5"/>
        <item x="6"/>
        <item x="7"/>
        <item x="8"/>
        <item x="9"/>
        <item x="10"/>
        <item x="11"/>
        <item x="12"/>
        <item x="13"/>
        <item t="default"/>
      </items>
    </pivotField>
    <pivotField showAll="0"/>
    <pivotField showAll="0"/>
    <pivotField showAll="0"/>
    <pivotField showAll="0">
      <items count="11">
        <item x="1"/>
        <item x="2"/>
        <item x="7"/>
        <item x="6"/>
        <item x="3"/>
        <item x="8"/>
        <item x="4"/>
        <item x="0"/>
        <item x="9"/>
        <item x="5"/>
        <item t="default"/>
      </items>
    </pivotField>
    <pivotField showAll="0"/>
    <pivotField showAll="0"/>
    <pivotField showAll="0"/>
    <pivotField showAll="0"/>
    <pivotField showAll="0">
      <items count="6">
        <item x="0"/>
        <item x="4"/>
        <item x="2"/>
        <item x="1"/>
        <item x="3"/>
        <item t="default"/>
      </items>
    </pivotField>
    <pivotField showAll="0"/>
    <pivotField numFmtId="14" showAll="0"/>
    <pivotField dataField="1" showAll="0"/>
    <pivotField showAll="0" defaultSubtotal="0">
      <items count="6">
        <item sd="0" x="0"/>
        <item sd="0" x="1"/>
        <item sd="0" x="2"/>
        <item sd="0" x="3"/>
        <item sd="0" x="4"/>
        <item sd="0" x="5"/>
      </items>
    </pivotField>
    <pivotField showAll="0" defaultSubtotal="0">
      <items count="4">
        <item sd="0" x="0"/>
        <item sd="0" x="1"/>
        <item sd="0" x="2"/>
        <item sd="0" x="3"/>
      </items>
    </pivotField>
  </pivotFields>
  <rowFields count="1">
    <field x="1"/>
  </rowFields>
  <rowItems count="13">
    <i>
      <x v="1"/>
    </i>
    <i>
      <x v="2"/>
    </i>
    <i>
      <x v="3"/>
    </i>
    <i>
      <x v="4"/>
    </i>
    <i>
      <x v="5"/>
    </i>
    <i>
      <x v="6"/>
    </i>
    <i>
      <x v="7"/>
    </i>
    <i>
      <x v="8"/>
    </i>
    <i>
      <x v="9"/>
    </i>
    <i>
      <x v="10"/>
    </i>
    <i>
      <x v="11"/>
    </i>
    <i>
      <x v="12"/>
    </i>
    <i t="grand">
      <x/>
    </i>
  </rowItems>
  <colItems count="1">
    <i/>
  </colItems>
  <dataFields count="1">
    <dataField name="Sum of Total_Amount" fld="13" baseField="0" baseItem="0"/>
  </dataFields>
  <formats count="14">
    <format dxfId="113">
      <pivotArea type="all" dataOnly="0" outline="0" fieldPosition="0"/>
    </format>
    <format dxfId="112">
      <pivotArea outline="0" collapsedLevelsAreSubtotals="1" fieldPosition="0"/>
    </format>
    <format dxfId="111">
      <pivotArea field="1" type="button" dataOnly="0" labelOnly="1" outline="0" axis="axisRow" fieldPosition="0"/>
    </format>
    <format dxfId="110">
      <pivotArea dataOnly="0" labelOnly="1" outline="0" axis="axisValues" fieldPosition="0"/>
    </format>
    <format dxfId="109">
      <pivotArea dataOnly="0" labelOnly="1" fieldPosition="0">
        <references count="1">
          <reference field="1" count="12">
            <x v="1"/>
            <x v="2"/>
            <x v="3"/>
            <x v="4"/>
            <x v="5"/>
            <x v="6"/>
            <x v="7"/>
            <x v="8"/>
            <x v="9"/>
            <x v="10"/>
            <x v="11"/>
            <x v="12"/>
          </reference>
        </references>
      </pivotArea>
    </format>
    <format dxfId="108">
      <pivotArea dataOnly="0" labelOnly="1" grandRow="1" outline="0" fieldPosition="0"/>
    </format>
    <format dxfId="107">
      <pivotArea dataOnly="0" labelOnly="1" outline="0" axis="axisValues" fieldPosition="0"/>
    </format>
    <format dxfId="106">
      <pivotArea type="all" dataOnly="0" outline="0" fieldPosition="0"/>
    </format>
    <format dxfId="105">
      <pivotArea outline="0" collapsedLevelsAreSubtotals="1" fieldPosition="0"/>
    </format>
    <format dxfId="104">
      <pivotArea field="1" type="button" dataOnly="0" labelOnly="1" outline="0" axis="axisRow" fieldPosition="0"/>
    </format>
    <format dxfId="103">
      <pivotArea dataOnly="0" labelOnly="1" outline="0" axis="axisValues" fieldPosition="0"/>
    </format>
    <format dxfId="102">
      <pivotArea dataOnly="0" labelOnly="1" fieldPosition="0">
        <references count="1">
          <reference field="1" count="12">
            <x v="1"/>
            <x v="2"/>
            <x v="3"/>
            <x v="4"/>
            <x v="5"/>
            <x v="6"/>
            <x v="7"/>
            <x v="8"/>
            <x v="9"/>
            <x v="10"/>
            <x v="11"/>
            <x v="12"/>
          </reference>
        </references>
      </pivotArea>
    </format>
    <format dxfId="101">
      <pivotArea dataOnly="0" labelOnly="1" grandRow="1" outline="0" fieldPosition="0"/>
    </format>
    <format dxfId="100">
      <pivotArea dataOnly="0" labelOnly="1" outline="0" axis="axisValues" fieldPosition="0"/>
    </format>
  </format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5" cacheId="6"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chartFormat="37">
  <location ref="A46:A47" firstHeaderRow="1" firstDataRow="1" firstDataCol="0"/>
  <pivotFields count="16">
    <pivotField showAll="0"/>
    <pivotField numFmtId="14" showAll="0">
      <items count="15">
        <item x="0"/>
        <item x="1"/>
        <item x="2"/>
        <item x="3"/>
        <item x="4"/>
        <item x="5"/>
        <item x="6"/>
        <item x="7"/>
        <item x="8"/>
        <item x="9"/>
        <item x="10"/>
        <item x="11"/>
        <item x="12"/>
        <item x="13"/>
        <item t="default"/>
      </items>
    </pivotField>
    <pivotField showAll="0"/>
    <pivotField showAll="0"/>
    <pivotField showAll="0"/>
    <pivotField showAll="0">
      <items count="11">
        <item x="1"/>
        <item x="2"/>
        <item x="7"/>
        <item x="6"/>
        <item x="3"/>
        <item x="8"/>
        <item x="4"/>
        <item x="0"/>
        <item x="9"/>
        <item x="5"/>
        <item t="default"/>
      </items>
    </pivotField>
    <pivotField showAll="0"/>
    <pivotField showAll="0"/>
    <pivotField showAll="0"/>
    <pivotField showAll="0"/>
    <pivotField showAll="0">
      <items count="6">
        <item x="0"/>
        <item x="4"/>
        <item x="2"/>
        <item x="1"/>
        <item x="3"/>
        <item t="default"/>
      </items>
    </pivotField>
    <pivotField showAll="0"/>
    <pivotField numFmtId="14" showAll="0"/>
    <pivotField dataField="1" showAll="0"/>
    <pivotField showAll="0" defaultSubtotal="0">
      <items count="6">
        <item sd="0" x="0"/>
        <item sd="0" x="1"/>
        <item sd="0" x="2"/>
        <item sd="0" x="3"/>
        <item sd="0" x="4"/>
        <item sd="0" x="5"/>
      </items>
    </pivotField>
    <pivotField showAll="0" defaultSubtotal="0">
      <items count="4">
        <item sd="0" x="0"/>
        <item sd="0" x="1"/>
        <item sd="0" x="2"/>
        <item sd="0" x="3"/>
      </items>
    </pivotField>
  </pivotFields>
  <rowItems count="1">
    <i/>
  </rowItems>
  <colItems count="1">
    <i/>
  </colItems>
  <dataFields count="1">
    <dataField name="Count of Total_Amount" fld="13" subtotal="count" baseField="0" baseItem="1066393632"/>
  </dataFields>
  <formats count="12">
    <format dxfId="125">
      <pivotArea type="all" dataOnly="0" outline="0" fieldPosition="0"/>
    </format>
    <format dxfId="124">
      <pivotArea outline="0" collapsedLevelsAreSubtotals="1" fieldPosition="0"/>
    </format>
    <format dxfId="123">
      <pivotArea field="1" type="button" dataOnly="0" labelOnly="1" outline="0"/>
    </format>
    <format dxfId="122">
      <pivotArea dataOnly="0" labelOnly="1" outline="0" axis="axisValues" fieldPosition="0"/>
    </format>
    <format dxfId="121">
      <pivotArea dataOnly="0" labelOnly="1" grandRow="1" outline="0" fieldPosition="0"/>
    </format>
    <format dxfId="120">
      <pivotArea dataOnly="0" labelOnly="1" outline="0" axis="axisValues" fieldPosition="0"/>
    </format>
    <format dxfId="119">
      <pivotArea type="all" dataOnly="0" outline="0" fieldPosition="0"/>
    </format>
    <format dxfId="118">
      <pivotArea outline="0" collapsedLevelsAreSubtotals="1" fieldPosition="0"/>
    </format>
    <format dxfId="117">
      <pivotArea field="1" type="button" dataOnly="0" labelOnly="1" outline="0"/>
    </format>
    <format dxfId="116">
      <pivotArea dataOnly="0" labelOnly="1" outline="0" axis="axisValues" fieldPosition="0"/>
    </format>
    <format dxfId="115">
      <pivotArea dataOnly="0" labelOnly="1" grandRow="1" outline="0" fieldPosition="0"/>
    </format>
    <format dxfId="114">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2" name="PivotTable1"/>
    <pivotTable tabId="2" name="PivotTable2"/>
    <pivotTable tabId="2" name="PivotTable3"/>
    <pivotTable tabId="2" name="PivotTable4"/>
    <pivotTable tabId="2" name="PivotTable5"/>
  </pivotTables>
  <data>
    <tabular pivotCacheId="1">
      <items count="5">
        <i x="0" s="1"/>
        <i x="4" s="1"/>
        <i x="2" s="1"/>
        <i x="1"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Product_Name" sourceName="Product_Name">
  <pivotTables>
    <pivotTable tabId="2" name="PivotTable1"/>
    <pivotTable tabId="2" name="PivotTable2"/>
    <pivotTable tabId="2" name="PivotTable3"/>
    <pivotTable tabId="2" name="PivotTable4"/>
    <pivotTable tabId="2" name="PivotTable5"/>
  </pivotTables>
  <data>
    <tabular pivotCacheId="1">
      <items count="10">
        <i x="1" s="1"/>
        <i x="2" s="1"/>
        <i x="7" s="1"/>
        <i x="6" s="1"/>
        <i x="3" s="1"/>
        <i x="8" s="1"/>
        <i x="4" s="1"/>
        <i x="0" s="1"/>
        <i x="9" s="1"/>
        <i x="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Region 1" cache="Slicer_Region" caption="Region" columnCount="2" rowHeight="144000"/>
  <slicer name="Product_Name 1" cache="Slicer_Product_Name" caption="Product_Name" columnCount="10"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name="NativeTimeline_Date" sourceName="Date">
  <pivotTables>
    <pivotTable tabId="2" name="PivotTable1"/>
    <pivotTable tabId="2" name="PivotTable2"/>
    <pivotTable tabId="2" name="PivotTable3"/>
    <pivotTable tabId="2" name="PivotTable4"/>
    <pivotTable tabId="2" name="PivotTable5"/>
  </pivotTables>
  <state minimalRefreshVersion="6" lastRefreshVersion="6" pivotCacheId="1" filterType="unknown">
    <bounds startDate="2024-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mc:Ignorable="x">
  <timeline name="Date 1" cache="NativeTimeline_Date" caption="Date" showSelectionLabel="0" showTimeLevel="0" showHorizontalScrollbar="0" level="2" selectionLevel="2" scrollPosition="2024-02-01T00:00:00"/>
</timeline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rinterSettings" Target="../printerSettings/printerSettings3.bin"/><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8"/>
  <sheetViews>
    <sheetView workbookViewId="0">
      <selection activeCell="C20" sqref="C20"/>
    </sheetView>
  </sheetViews>
  <sheetFormatPr defaultRowHeight="14.5"/>
  <cols>
    <col min="1" max="1" width="19.36328125" customWidth="1"/>
    <col min="2" max="2" width="21.08984375" customWidth="1"/>
    <col min="3" max="3" width="16.1796875" customWidth="1"/>
    <col min="4" max="4" width="14.08984375" customWidth="1"/>
    <col min="5" max="5" width="14.453125" customWidth="1"/>
    <col min="6" max="6" width="14.08984375" customWidth="1"/>
    <col min="7" max="7" width="15.7265625" customWidth="1"/>
    <col min="8" max="8" width="16.90625" customWidth="1"/>
    <col min="9" max="9" width="15.08984375" customWidth="1"/>
  </cols>
  <sheetData>
    <row r="1" spans="1:9">
      <c r="A1" t="s">
        <v>852</v>
      </c>
    </row>
    <row r="3" spans="1:9">
      <c r="A3" s="38" t="s">
        <v>853</v>
      </c>
      <c r="B3" s="39"/>
      <c r="C3" s="32"/>
    </row>
    <row r="4" spans="1:9">
      <c r="A4" s="33" t="s">
        <v>854</v>
      </c>
      <c r="B4" s="33">
        <v>0.83544893212536542</v>
      </c>
    </row>
    <row r="5" spans="1:9">
      <c r="A5" s="33" t="s">
        <v>855</v>
      </c>
      <c r="B5" s="33">
        <v>0.69797491818941348</v>
      </c>
    </row>
    <row r="6" spans="1:9">
      <c r="A6" s="33" t="s">
        <v>856</v>
      </c>
      <c r="B6" s="33">
        <v>0.69675707511759655</v>
      </c>
    </row>
    <row r="7" spans="1:9">
      <c r="A7" s="33" t="s">
        <v>857</v>
      </c>
      <c r="B7" s="33">
        <v>568.54608194947468</v>
      </c>
    </row>
    <row r="8" spans="1:9">
      <c r="A8" s="33" t="s">
        <v>858</v>
      </c>
      <c r="B8" s="33">
        <v>250</v>
      </c>
    </row>
    <row r="10" spans="1:9">
      <c r="A10" t="s">
        <v>859</v>
      </c>
    </row>
    <row r="11" spans="1:9">
      <c r="A11" s="34"/>
      <c r="B11" s="34" t="s">
        <v>864</v>
      </c>
      <c r="C11" s="34" t="s">
        <v>865</v>
      </c>
      <c r="D11" s="34" t="s">
        <v>866</v>
      </c>
      <c r="E11" s="34" t="s">
        <v>867</v>
      </c>
      <c r="F11" s="34" t="s">
        <v>868</v>
      </c>
    </row>
    <row r="12" spans="1:9">
      <c r="A12" s="31" t="s">
        <v>860</v>
      </c>
      <c r="B12" s="31">
        <v>1</v>
      </c>
      <c r="C12" s="31">
        <v>185259218.92207199</v>
      </c>
      <c r="D12" s="31">
        <v>185259218.92207199</v>
      </c>
      <c r="E12" s="31">
        <v>573.12385671178106</v>
      </c>
      <c r="F12" s="31">
        <v>2.0274087953767249E-66</v>
      </c>
    </row>
    <row r="13" spans="1:9">
      <c r="A13" s="31" t="s">
        <v>861</v>
      </c>
      <c r="B13" s="31">
        <v>248</v>
      </c>
      <c r="C13" s="31">
        <v>80164672.530424491</v>
      </c>
      <c r="D13" s="31">
        <v>323244.64730009873</v>
      </c>
      <c r="E13" s="31"/>
      <c r="F13" s="31"/>
    </row>
    <row r="14" spans="1:9">
      <c r="A14" s="31" t="s">
        <v>862</v>
      </c>
      <c r="B14" s="31">
        <v>249</v>
      </c>
      <c r="C14" s="31">
        <v>265423891.45249647</v>
      </c>
      <c r="D14" s="31"/>
      <c r="E14" s="31"/>
      <c r="F14" s="31"/>
    </row>
    <row r="16" spans="1:9">
      <c r="A16" s="35"/>
      <c r="B16" s="35" t="s">
        <v>869</v>
      </c>
      <c r="C16" s="35" t="s">
        <v>857</v>
      </c>
      <c r="D16" s="35" t="s">
        <v>870</v>
      </c>
      <c r="E16" s="35" t="s">
        <v>871</v>
      </c>
      <c r="F16" s="35" t="s">
        <v>872</v>
      </c>
      <c r="G16" s="35" t="s">
        <v>873</v>
      </c>
      <c r="H16" s="35" t="s">
        <v>874</v>
      </c>
      <c r="I16" s="35" t="s">
        <v>875</v>
      </c>
    </row>
    <row r="17" spans="1:9">
      <c r="A17" s="36" t="s">
        <v>863</v>
      </c>
      <c r="B17" s="36">
        <v>-14.342532990175982</v>
      </c>
      <c r="C17" s="36">
        <v>52.968753308776222</v>
      </c>
      <c r="D17" s="36">
        <v>-0.2707734672660233</v>
      </c>
      <c r="E17" s="36">
        <v>0.78679048926857054</v>
      </c>
      <c r="F17" s="36">
        <v>-118.66849991006868</v>
      </c>
      <c r="G17" s="36">
        <v>89.983433929716711</v>
      </c>
      <c r="H17" s="36">
        <v>-118.66849991006868</v>
      </c>
      <c r="I17" s="36">
        <v>89.983433929716711</v>
      </c>
    </row>
    <row r="18" spans="1:9">
      <c r="A18" s="36" t="s">
        <v>8</v>
      </c>
      <c r="B18" s="36">
        <v>3.1385459028219134</v>
      </c>
      <c r="C18" s="36">
        <v>0.13110046783283946</v>
      </c>
      <c r="D18" s="36">
        <v>23.940005361565433</v>
      </c>
      <c r="E18" s="36">
        <v>2.0274087953764941E-66</v>
      </c>
      <c r="F18" s="36">
        <v>2.8803336131993609</v>
      </c>
      <c r="G18" s="36">
        <v>3.3967581924444659</v>
      </c>
      <c r="H18" s="36">
        <v>2.8803336131993609</v>
      </c>
      <c r="I18" s="36">
        <v>3.3967581924444659</v>
      </c>
    </row>
  </sheetData>
  <mergeCells count="1">
    <mergeCell ref="A3:B3"/>
  </mergeCells>
  <pageMargins left="0.7" right="0.7" top="0.75" bottom="0.75" header="0.3" footer="0.3"/>
  <pageSetup paperSize="9" orientation="portrait" horizontalDpi="30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254"/>
  <sheetViews>
    <sheetView tabSelected="1" zoomScale="58" zoomScaleNormal="70" workbookViewId="0">
      <selection activeCell="Z5" sqref="Z5"/>
    </sheetView>
  </sheetViews>
  <sheetFormatPr defaultColWidth="11.36328125" defaultRowHeight="17.5" customHeight="1"/>
  <cols>
    <col min="1" max="1" width="13.6328125" customWidth="1"/>
    <col min="2" max="2" width="12" customWidth="1"/>
    <col min="3" max="3" width="13.54296875" customWidth="1"/>
    <col min="4" max="4" width="15.90625" customWidth="1"/>
    <col min="5" max="5" width="12.453125" customWidth="1"/>
    <col min="6" max="6" width="15.6328125" customWidth="1"/>
    <col min="7" max="7" width="10.36328125" customWidth="1"/>
    <col min="8" max="8" width="8.7265625" customWidth="1"/>
    <col min="9" max="9" width="11.08984375" customWidth="1"/>
    <col min="10" max="10" width="16.7265625" customWidth="1"/>
    <col min="11" max="11" width="7.54296875" customWidth="1"/>
    <col min="12" max="12" width="18.26953125" customWidth="1"/>
    <col min="13" max="13" width="17.1796875" customWidth="1"/>
    <col min="14" max="14" width="14" customWidth="1"/>
    <col min="15" max="15" width="17.453125" customWidth="1"/>
    <col min="16" max="16" width="16.81640625" customWidth="1"/>
    <col min="17" max="17" width="18.90625" customWidth="1"/>
    <col min="18" max="18" width="20.453125" customWidth="1"/>
    <col min="19" max="19" width="1.90625" customWidth="1"/>
    <col min="20" max="20" width="17.81640625" customWidth="1"/>
    <col min="21" max="21" width="18" customWidth="1"/>
    <col min="22" max="22" width="15.453125" customWidth="1"/>
    <col min="23" max="23" width="1.7265625" customWidth="1"/>
    <col min="24" max="24" width="15.26953125" customWidth="1"/>
    <col min="25" max="25" width="14.81640625" customWidth="1"/>
  </cols>
  <sheetData>
    <row r="1" spans="1:25" ht="17.5" customHeight="1" thickBot="1">
      <c r="A1" s="11" t="s">
        <v>0</v>
      </c>
      <c r="B1" s="11" t="s">
        <v>1</v>
      </c>
      <c r="C1" s="11" t="s">
        <v>2</v>
      </c>
      <c r="D1" s="11" t="s">
        <v>3</v>
      </c>
      <c r="E1" s="11" t="s">
        <v>4</v>
      </c>
      <c r="F1" s="11" t="s">
        <v>5</v>
      </c>
      <c r="G1" s="11" t="s">
        <v>6</v>
      </c>
      <c r="H1" s="11" t="s">
        <v>7</v>
      </c>
      <c r="I1" s="11" t="s">
        <v>8</v>
      </c>
      <c r="J1" s="11" t="s">
        <v>9</v>
      </c>
      <c r="K1" s="11" t="s">
        <v>10</v>
      </c>
      <c r="L1" s="11" t="s">
        <v>11</v>
      </c>
      <c r="M1" s="11" t="s">
        <v>12</v>
      </c>
      <c r="N1" s="11" t="s">
        <v>13</v>
      </c>
      <c r="O1" s="15" t="s">
        <v>839</v>
      </c>
      <c r="P1" s="16" t="s">
        <v>841</v>
      </c>
      <c r="Q1" s="20" t="s">
        <v>842</v>
      </c>
      <c r="R1" s="20" t="s">
        <v>840</v>
      </c>
      <c r="T1" s="22" t="s">
        <v>878</v>
      </c>
      <c r="U1" s="22" t="s">
        <v>898</v>
      </c>
      <c r="V1" s="22" t="s">
        <v>879</v>
      </c>
      <c r="X1" s="22" t="s">
        <v>880</v>
      </c>
      <c r="Y1" s="22" t="s">
        <v>881</v>
      </c>
    </row>
    <row r="2" spans="1:25" ht="17.5" customHeight="1" thickBot="1">
      <c r="A2" s="12" t="s">
        <v>99</v>
      </c>
      <c r="B2" s="13">
        <v>45393</v>
      </c>
      <c r="C2" s="12" t="s">
        <v>349</v>
      </c>
      <c r="D2" s="12" t="s">
        <v>14</v>
      </c>
      <c r="E2" s="12" t="s">
        <v>44</v>
      </c>
      <c r="F2" s="12" t="s">
        <v>16</v>
      </c>
      <c r="G2" s="12" t="s">
        <v>17</v>
      </c>
      <c r="H2" s="14">
        <v>3</v>
      </c>
      <c r="I2" s="14">
        <v>249.99</v>
      </c>
      <c r="J2" s="12" t="s">
        <v>18</v>
      </c>
      <c r="K2" s="12" t="s">
        <v>19</v>
      </c>
      <c r="L2" s="12" t="s">
        <v>20</v>
      </c>
      <c r="M2" s="13">
        <v>44425</v>
      </c>
      <c r="N2" s="17">
        <v>749.97</v>
      </c>
      <c r="O2" s="18">
        <f ca="1">DATEDIF(M2, TODAY(), "Y")</f>
        <v>4</v>
      </c>
      <c r="P2" s="19">
        <f>EOMONTH(B2, 0)</f>
        <v>45412</v>
      </c>
      <c r="Q2" s="24">
        <f ca="1">NOW()</f>
        <v>46077.095096064812</v>
      </c>
      <c r="R2" s="37">
        <v>0.79166666666666663</v>
      </c>
      <c r="T2" s="30" t="s">
        <v>87</v>
      </c>
      <c r="U2" s="30" t="s">
        <v>79</v>
      </c>
      <c r="V2" s="25" t="str">
        <f>IF(T2=U2, T2, "-")</f>
        <v>-</v>
      </c>
      <c r="X2" s="25" t="str">
        <f>UPPER(LEFT(G2, 3))</f>
        <v>ELE</v>
      </c>
      <c r="Y2" s="25" t="str">
        <f>IF(L2="Premium", "PREM.", IF(L2="Standard", "STD.", "BAS."))</f>
        <v>BAS.</v>
      </c>
    </row>
    <row r="3" spans="1:25" ht="17.5" customHeight="1" thickBot="1">
      <c r="A3" s="12" t="s">
        <v>100</v>
      </c>
      <c r="B3" s="13">
        <v>45396</v>
      </c>
      <c r="C3" s="12" t="s">
        <v>350</v>
      </c>
      <c r="D3" s="12" t="s">
        <v>21</v>
      </c>
      <c r="E3" s="12" t="s">
        <v>52</v>
      </c>
      <c r="F3" s="12" t="s">
        <v>16</v>
      </c>
      <c r="G3" s="12" t="s">
        <v>17</v>
      </c>
      <c r="H3" s="14">
        <v>3</v>
      </c>
      <c r="I3" s="14">
        <v>249.99</v>
      </c>
      <c r="J3" s="12" t="s">
        <v>22</v>
      </c>
      <c r="K3" s="12" t="s">
        <v>19</v>
      </c>
      <c r="L3" s="12" t="s">
        <v>23</v>
      </c>
      <c r="M3" s="13">
        <v>44575</v>
      </c>
      <c r="N3" s="17">
        <v>749.97</v>
      </c>
      <c r="O3" s="18">
        <f t="shared" ref="O3:O66" ca="1" si="0">DATEDIF(M3, TODAY(), "Y")</f>
        <v>4</v>
      </c>
      <c r="P3" s="19">
        <f t="shared" ref="P3:P66" si="1">EOMONTH(B3, 0)</f>
        <v>45412</v>
      </c>
      <c r="T3" s="30" t="s">
        <v>49</v>
      </c>
      <c r="U3" s="30" t="s">
        <v>78</v>
      </c>
      <c r="V3" s="25" t="str">
        <f t="shared" ref="V3:V13" si="2">IF(T3=U3, T3, "-")</f>
        <v>-</v>
      </c>
      <c r="X3" s="25" t="str">
        <f t="shared" ref="X3:X66" si="3">UPPER(LEFT(G3, 3))</f>
        <v>ELE</v>
      </c>
      <c r="Y3" s="25" t="str">
        <f t="shared" ref="Y3:Y66" si="4">IF(L3="Premium", "PREM.", IF(L3="Standard", "STD.", "BAS."))</f>
        <v>PREM.</v>
      </c>
    </row>
    <row r="4" spans="1:25" ht="17.5" customHeight="1" thickBot="1">
      <c r="A4" s="12" t="s">
        <v>101</v>
      </c>
      <c r="B4" s="13">
        <v>45399</v>
      </c>
      <c r="C4" s="12" t="s">
        <v>351</v>
      </c>
      <c r="D4" s="12" t="s">
        <v>24</v>
      </c>
      <c r="E4" s="12" t="s">
        <v>39</v>
      </c>
      <c r="F4" s="12" t="s">
        <v>26</v>
      </c>
      <c r="G4" s="12" t="s">
        <v>27</v>
      </c>
      <c r="H4" s="14">
        <v>3</v>
      </c>
      <c r="I4" s="14">
        <v>59.99</v>
      </c>
      <c r="J4" s="12" t="s">
        <v>28</v>
      </c>
      <c r="K4" s="12" t="s">
        <v>29</v>
      </c>
      <c r="L4" s="12" t="s">
        <v>30</v>
      </c>
      <c r="M4" s="13">
        <v>45262</v>
      </c>
      <c r="N4" s="17">
        <v>179.97</v>
      </c>
      <c r="O4" s="18">
        <f t="shared" ca="1" si="0"/>
        <v>2</v>
      </c>
      <c r="P4" s="19">
        <f t="shared" si="1"/>
        <v>45412</v>
      </c>
      <c r="T4" s="30" t="s">
        <v>47</v>
      </c>
      <c r="U4" s="30" t="s">
        <v>47</v>
      </c>
      <c r="V4" s="25" t="str">
        <f t="shared" si="2"/>
        <v>Karen Hill</v>
      </c>
      <c r="X4" s="25" t="str">
        <f t="shared" si="3"/>
        <v>APP</v>
      </c>
      <c r="Y4" s="25" t="str">
        <f t="shared" si="4"/>
        <v>STD.</v>
      </c>
    </row>
    <row r="5" spans="1:25" ht="17.5" customHeight="1" thickBot="1">
      <c r="A5" s="12" t="s">
        <v>102</v>
      </c>
      <c r="B5" s="13">
        <v>45400</v>
      </c>
      <c r="C5" s="12" t="s">
        <v>352</v>
      </c>
      <c r="D5" s="12" t="s">
        <v>31</v>
      </c>
      <c r="E5" s="12" t="s">
        <v>65</v>
      </c>
      <c r="F5" s="12" t="s">
        <v>26</v>
      </c>
      <c r="G5" s="12" t="s">
        <v>27</v>
      </c>
      <c r="H5" s="14">
        <v>3</v>
      </c>
      <c r="I5" s="14">
        <v>59.99</v>
      </c>
      <c r="J5" s="12" t="s">
        <v>18</v>
      </c>
      <c r="K5" s="12" t="s">
        <v>32</v>
      </c>
      <c r="L5" s="12" t="s">
        <v>23</v>
      </c>
      <c r="M5" s="13">
        <v>45114</v>
      </c>
      <c r="N5" s="17">
        <v>179.97</v>
      </c>
      <c r="O5" s="18">
        <f t="shared" ca="1" si="0"/>
        <v>2</v>
      </c>
      <c r="P5" s="19">
        <f t="shared" si="1"/>
        <v>45412</v>
      </c>
      <c r="Q5" s="21" t="s">
        <v>844</v>
      </c>
      <c r="R5" s="22" t="s">
        <v>845</v>
      </c>
      <c r="T5" s="30" t="s">
        <v>79</v>
      </c>
      <c r="U5" s="30" t="s">
        <v>87</v>
      </c>
      <c r="V5" s="25" t="str">
        <f t="shared" si="2"/>
        <v>-</v>
      </c>
      <c r="X5" s="25" t="str">
        <f t="shared" si="3"/>
        <v>APP</v>
      </c>
      <c r="Y5" s="25" t="str">
        <f t="shared" si="4"/>
        <v>PREM.</v>
      </c>
    </row>
    <row r="6" spans="1:25" ht="17.5" customHeight="1" thickBot="1">
      <c r="A6" s="12" t="s">
        <v>103</v>
      </c>
      <c r="B6" s="13">
        <v>45400</v>
      </c>
      <c r="C6" s="12" t="s">
        <v>353</v>
      </c>
      <c r="D6" s="12" t="s">
        <v>33</v>
      </c>
      <c r="E6" s="12" t="s">
        <v>25</v>
      </c>
      <c r="F6" s="12" t="s">
        <v>35</v>
      </c>
      <c r="G6" s="12" t="s">
        <v>36</v>
      </c>
      <c r="H6" s="14">
        <v>5</v>
      </c>
      <c r="I6" s="14">
        <v>149.99</v>
      </c>
      <c r="J6" s="12" t="s">
        <v>22</v>
      </c>
      <c r="K6" s="12" t="s">
        <v>32</v>
      </c>
      <c r="L6" s="12" t="s">
        <v>23</v>
      </c>
      <c r="M6" s="13">
        <v>45295</v>
      </c>
      <c r="N6" s="17">
        <v>749.95</v>
      </c>
      <c r="O6" s="18">
        <f t="shared" ca="1" si="0"/>
        <v>2</v>
      </c>
      <c r="P6" s="19">
        <f t="shared" si="1"/>
        <v>45412</v>
      </c>
      <c r="Q6" s="26">
        <f>SUM(N2:N251)</f>
        <v>229192.47000000032</v>
      </c>
      <c r="R6" s="25">
        <f>AVERAGE(N2:N251)</f>
        <v>916.76988000000131</v>
      </c>
      <c r="T6" s="30" t="s">
        <v>21</v>
      </c>
      <c r="U6" s="30" t="s">
        <v>55</v>
      </c>
      <c r="V6" s="25" t="str">
        <f t="shared" si="2"/>
        <v>-</v>
      </c>
      <c r="X6" s="25" t="str">
        <f t="shared" si="3"/>
        <v>FUR</v>
      </c>
      <c r="Y6" s="25" t="str">
        <f t="shared" si="4"/>
        <v>PREM.</v>
      </c>
    </row>
    <row r="7" spans="1:25" ht="17.5" customHeight="1" thickBot="1">
      <c r="A7" s="12" t="s">
        <v>104</v>
      </c>
      <c r="B7" s="13">
        <v>45403</v>
      </c>
      <c r="C7" s="12" t="s">
        <v>354</v>
      </c>
      <c r="D7" s="12" t="s">
        <v>37</v>
      </c>
      <c r="E7" s="12" t="s">
        <v>71</v>
      </c>
      <c r="F7" s="12" t="s">
        <v>26</v>
      </c>
      <c r="G7" s="12" t="s">
        <v>27</v>
      </c>
      <c r="H7" s="14">
        <v>2</v>
      </c>
      <c r="I7" s="14">
        <v>59.99</v>
      </c>
      <c r="J7" s="12" t="s">
        <v>18</v>
      </c>
      <c r="K7" s="12" t="s">
        <v>38</v>
      </c>
      <c r="L7" s="12" t="s">
        <v>30</v>
      </c>
      <c r="M7" s="13">
        <v>44746</v>
      </c>
      <c r="N7" s="17">
        <v>119.98</v>
      </c>
      <c r="O7" s="18">
        <f t="shared" ca="1" si="0"/>
        <v>3</v>
      </c>
      <c r="P7" s="19">
        <f t="shared" si="1"/>
        <v>45412</v>
      </c>
      <c r="T7" s="30" t="s">
        <v>84</v>
      </c>
      <c r="U7" s="30" t="s">
        <v>49</v>
      </c>
      <c r="V7" s="25" t="str">
        <f t="shared" si="2"/>
        <v>-</v>
      </c>
      <c r="X7" s="25" t="str">
        <f t="shared" si="3"/>
        <v>APP</v>
      </c>
      <c r="Y7" s="25" t="str">
        <f t="shared" si="4"/>
        <v>STD.</v>
      </c>
    </row>
    <row r="8" spans="1:25" ht="17.5" customHeight="1" thickBot="1">
      <c r="A8" s="12" t="s">
        <v>105</v>
      </c>
      <c r="B8" s="13">
        <v>45403</v>
      </c>
      <c r="C8" s="12" t="s">
        <v>355</v>
      </c>
      <c r="D8" s="12" t="s">
        <v>37</v>
      </c>
      <c r="E8" s="12" t="s">
        <v>61</v>
      </c>
      <c r="F8" s="12" t="s">
        <v>40</v>
      </c>
      <c r="G8" s="12" t="s">
        <v>17</v>
      </c>
      <c r="H8" s="14">
        <v>5</v>
      </c>
      <c r="I8" s="14">
        <v>149.99</v>
      </c>
      <c r="J8" s="12" t="s">
        <v>22</v>
      </c>
      <c r="K8" s="12" t="s">
        <v>19</v>
      </c>
      <c r="L8" s="12" t="s">
        <v>30</v>
      </c>
      <c r="M8" s="13">
        <v>44418</v>
      </c>
      <c r="N8" s="17">
        <v>749.95</v>
      </c>
      <c r="O8" s="18">
        <f t="shared" ca="1" si="0"/>
        <v>4</v>
      </c>
      <c r="P8" s="19">
        <f t="shared" si="1"/>
        <v>45412</v>
      </c>
      <c r="T8" s="30" t="s">
        <v>87</v>
      </c>
      <c r="U8" s="30" t="s">
        <v>87</v>
      </c>
      <c r="V8" s="25" t="str">
        <f t="shared" si="2"/>
        <v>Gerald Murphy</v>
      </c>
      <c r="X8" s="25" t="str">
        <f t="shared" si="3"/>
        <v>ELE</v>
      </c>
      <c r="Y8" s="25" t="str">
        <f t="shared" si="4"/>
        <v>STD.</v>
      </c>
    </row>
    <row r="9" spans="1:25" ht="17.5" customHeight="1" thickBot="1">
      <c r="A9" s="12" t="s">
        <v>106</v>
      </c>
      <c r="B9" s="13">
        <v>45403</v>
      </c>
      <c r="C9" s="12" t="s">
        <v>356</v>
      </c>
      <c r="D9" s="12" t="s">
        <v>41</v>
      </c>
      <c r="E9" s="12" t="s">
        <v>34</v>
      </c>
      <c r="F9" s="12" t="s">
        <v>26</v>
      </c>
      <c r="G9" s="12" t="s">
        <v>27</v>
      </c>
      <c r="H9" s="14">
        <v>3</v>
      </c>
      <c r="I9" s="14">
        <v>59.99</v>
      </c>
      <c r="J9" s="12" t="s">
        <v>42</v>
      </c>
      <c r="K9" s="12" t="s">
        <v>29</v>
      </c>
      <c r="L9" s="12" t="s">
        <v>20</v>
      </c>
      <c r="M9" s="13">
        <v>45007</v>
      </c>
      <c r="N9" s="17">
        <v>179.97</v>
      </c>
      <c r="O9" s="18">
        <f t="shared" ca="1" si="0"/>
        <v>2</v>
      </c>
      <c r="P9" s="19">
        <f t="shared" si="1"/>
        <v>45412</v>
      </c>
      <c r="Q9" s="40" t="s">
        <v>846</v>
      </c>
      <c r="R9" s="41"/>
      <c r="T9" s="30" t="s">
        <v>58</v>
      </c>
      <c r="U9" s="30" t="s">
        <v>58</v>
      </c>
      <c r="V9" s="25" t="str">
        <f t="shared" si="2"/>
        <v>Barbara Young</v>
      </c>
      <c r="X9" s="25" t="str">
        <f t="shared" si="3"/>
        <v>APP</v>
      </c>
      <c r="Y9" s="25" t="str">
        <f t="shared" si="4"/>
        <v>BAS.</v>
      </c>
    </row>
    <row r="10" spans="1:25" ht="17.5" customHeight="1" thickBot="1">
      <c r="A10" s="12" t="s">
        <v>107</v>
      </c>
      <c r="B10" s="13">
        <v>45405</v>
      </c>
      <c r="C10" s="12" t="s">
        <v>357</v>
      </c>
      <c r="D10" s="12" t="s">
        <v>43</v>
      </c>
      <c r="E10" s="12" t="s">
        <v>15</v>
      </c>
      <c r="F10" s="12" t="s">
        <v>45</v>
      </c>
      <c r="G10" s="12" t="s">
        <v>17</v>
      </c>
      <c r="H10" s="14">
        <v>3</v>
      </c>
      <c r="I10" s="14">
        <v>899.99</v>
      </c>
      <c r="J10" s="12" t="s">
        <v>28</v>
      </c>
      <c r="K10" s="12" t="s">
        <v>46</v>
      </c>
      <c r="L10" s="12" t="s">
        <v>30</v>
      </c>
      <c r="M10" s="13">
        <v>45299</v>
      </c>
      <c r="N10" s="17">
        <v>2699.97</v>
      </c>
      <c r="O10" s="18">
        <f t="shared" ca="1" si="0"/>
        <v>2</v>
      </c>
      <c r="P10" s="19">
        <f t="shared" si="1"/>
        <v>45412</v>
      </c>
      <c r="Q10" s="26" t="s">
        <v>847</v>
      </c>
      <c r="R10" s="25">
        <f>SUM(N:N)</f>
        <v>229192.47000000032</v>
      </c>
      <c r="T10" s="30" t="s">
        <v>78</v>
      </c>
      <c r="U10" s="30" t="s">
        <v>49</v>
      </c>
      <c r="V10" s="25" t="str">
        <f t="shared" si="2"/>
        <v>-</v>
      </c>
      <c r="X10" s="25" t="str">
        <f t="shared" si="3"/>
        <v>ELE</v>
      </c>
      <c r="Y10" s="25" t="str">
        <f t="shared" si="4"/>
        <v>STD.</v>
      </c>
    </row>
    <row r="11" spans="1:25" ht="17.5" customHeight="1" thickBot="1">
      <c r="A11" s="12" t="s">
        <v>108</v>
      </c>
      <c r="B11" s="13">
        <v>45408</v>
      </c>
      <c r="C11" s="12" t="s">
        <v>358</v>
      </c>
      <c r="D11" s="12" t="s">
        <v>47</v>
      </c>
      <c r="E11" s="12" t="s">
        <v>67</v>
      </c>
      <c r="F11" s="12" t="s">
        <v>26</v>
      </c>
      <c r="G11" s="12" t="s">
        <v>27</v>
      </c>
      <c r="H11" s="14">
        <v>3</v>
      </c>
      <c r="I11" s="14">
        <v>59.99</v>
      </c>
      <c r="J11" s="12" t="s">
        <v>18</v>
      </c>
      <c r="K11" s="12" t="s">
        <v>38</v>
      </c>
      <c r="L11" s="12" t="s">
        <v>23</v>
      </c>
      <c r="M11" s="13">
        <v>45207</v>
      </c>
      <c r="N11" s="17">
        <v>179.97</v>
      </c>
      <c r="O11" s="18">
        <f t="shared" ca="1" si="0"/>
        <v>2</v>
      </c>
      <c r="P11" s="19">
        <f t="shared" si="1"/>
        <v>45412</v>
      </c>
      <c r="Q11" s="26" t="s">
        <v>848</v>
      </c>
      <c r="R11" s="25">
        <v>0.8</v>
      </c>
      <c r="T11" s="30" t="s">
        <v>55</v>
      </c>
      <c r="U11" s="30" t="s">
        <v>84</v>
      </c>
      <c r="V11" s="25" t="str">
        <f t="shared" si="2"/>
        <v>-</v>
      </c>
      <c r="X11" s="25" t="str">
        <f t="shared" si="3"/>
        <v>APP</v>
      </c>
      <c r="Y11" s="25" t="str">
        <f t="shared" si="4"/>
        <v>PREM.</v>
      </c>
    </row>
    <row r="12" spans="1:25" ht="17.5" customHeight="1" thickBot="1">
      <c r="A12" s="12" t="s">
        <v>109</v>
      </c>
      <c r="B12" s="13">
        <v>45408</v>
      </c>
      <c r="C12" s="12" t="s">
        <v>359</v>
      </c>
      <c r="D12" s="12" t="s">
        <v>48</v>
      </c>
      <c r="E12" s="12" t="s">
        <v>599</v>
      </c>
      <c r="F12" s="12" t="s">
        <v>35</v>
      </c>
      <c r="G12" s="12" t="s">
        <v>36</v>
      </c>
      <c r="H12" s="14">
        <v>1</v>
      </c>
      <c r="I12" s="14">
        <v>149.99</v>
      </c>
      <c r="J12" s="12" t="s">
        <v>22</v>
      </c>
      <c r="K12" s="12" t="s">
        <v>38</v>
      </c>
      <c r="L12" s="12" t="s">
        <v>30</v>
      </c>
      <c r="M12" s="13">
        <v>45103</v>
      </c>
      <c r="N12" s="17">
        <v>149.99</v>
      </c>
      <c r="O12" s="18">
        <f t="shared" ca="1" si="0"/>
        <v>2</v>
      </c>
      <c r="P12" s="19">
        <f t="shared" si="1"/>
        <v>45412</v>
      </c>
      <c r="Q12" s="26" t="s">
        <v>849</v>
      </c>
      <c r="R12" s="25">
        <f>R10 * (1 - R11)</f>
        <v>45838.494000000057</v>
      </c>
      <c r="T12" s="30" t="s">
        <v>78</v>
      </c>
      <c r="U12" s="30" t="s">
        <v>78</v>
      </c>
      <c r="V12" s="25" t="str">
        <f t="shared" si="2"/>
        <v>Daniel King</v>
      </c>
      <c r="X12" s="25" t="str">
        <f t="shared" si="3"/>
        <v>FUR</v>
      </c>
      <c r="Y12" s="25" t="str">
        <f t="shared" si="4"/>
        <v>STD.</v>
      </c>
    </row>
    <row r="13" spans="1:25" ht="17.5" customHeight="1" thickBot="1">
      <c r="A13" s="12" t="s">
        <v>110</v>
      </c>
      <c r="B13" s="13">
        <v>45408</v>
      </c>
      <c r="C13" s="12" t="s">
        <v>360</v>
      </c>
      <c r="D13" s="12" t="s">
        <v>31</v>
      </c>
      <c r="E13" s="12" t="s">
        <v>600</v>
      </c>
      <c r="F13" s="12" t="s">
        <v>35</v>
      </c>
      <c r="G13" s="12" t="s">
        <v>36</v>
      </c>
      <c r="H13" s="14">
        <v>5</v>
      </c>
      <c r="I13" s="14">
        <v>149.99</v>
      </c>
      <c r="J13" s="12" t="s">
        <v>42</v>
      </c>
      <c r="K13" s="12" t="s">
        <v>32</v>
      </c>
      <c r="L13" s="12" t="s">
        <v>20</v>
      </c>
      <c r="M13" s="13">
        <v>44830</v>
      </c>
      <c r="N13" s="17">
        <v>749.95</v>
      </c>
      <c r="O13" s="18">
        <f t="shared" ca="1" si="0"/>
        <v>3</v>
      </c>
      <c r="P13" s="19">
        <f t="shared" si="1"/>
        <v>45412</v>
      </c>
      <c r="T13" s="30" t="s">
        <v>55</v>
      </c>
      <c r="U13" s="30" t="s">
        <v>55</v>
      </c>
      <c r="V13" s="25" t="str">
        <f t="shared" si="2"/>
        <v>Mark Carter</v>
      </c>
      <c r="X13" s="25" t="str">
        <f t="shared" si="3"/>
        <v>FUR</v>
      </c>
      <c r="Y13" s="25" t="str">
        <f t="shared" si="4"/>
        <v>BAS.</v>
      </c>
    </row>
    <row r="14" spans="1:25" ht="17.5" customHeight="1" thickBot="1">
      <c r="A14" s="12" t="s">
        <v>111</v>
      </c>
      <c r="B14" s="13">
        <v>45408</v>
      </c>
      <c r="C14" s="12" t="s">
        <v>361</v>
      </c>
      <c r="D14" s="12" t="s">
        <v>49</v>
      </c>
      <c r="E14" s="12" t="s">
        <v>601</v>
      </c>
      <c r="F14" s="12" t="s">
        <v>35</v>
      </c>
      <c r="G14" s="12" t="s">
        <v>36</v>
      </c>
      <c r="H14" s="14">
        <v>3</v>
      </c>
      <c r="I14" s="14">
        <v>149.99</v>
      </c>
      <c r="J14" s="12" t="s">
        <v>18</v>
      </c>
      <c r="K14" s="12" t="s">
        <v>32</v>
      </c>
      <c r="L14" s="12" t="s">
        <v>23</v>
      </c>
      <c r="M14" s="13">
        <v>44806</v>
      </c>
      <c r="N14" s="17">
        <v>449.97</v>
      </c>
      <c r="O14" s="18">
        <f t="shared" ca="1" si="0"/>
        <v>3</v>
      </c>
      <c r="P14" s="19">
        <f t="shared" si="1"/>
        <v>45412</v>
      </c>
      <c r="X14" s="25" t="str">
        <f t="shared" si="3"/>
        <v>FUR</v>
      </c>
      <c r="Y14" s="25" t="str">
        <f t="shared" si="4"/>
        <v>PREM.</v>
      </c>
    </row>
    <row r="15" spans="1:25" ht="17.5" customHeight="1" thickBot="1">
      <c r="A15" s="12" t="s">
        <v>112</v>
      </c>
      <c r="B15" s="13">
        <v>45409</v>
      </c>
      <c r="C15" s="12" t="s">
        <v>362</v>
      </c>
      <c r="D15" s="12" t="s">
        <v>50</v>
      </c>
      <c r="E15" s="12" t="s">
        <v>602</v>
      </c>
      <c r="F15" s="12" t="s">
        <v>26</v>
      </c>
      <c r="G15" s="12" t="s">
        <v>27</v>
      </c>
      <c r="H15" s="14">
        <v>3</v>
      </c>
      <c r="I15" s="14">
        <v>59.99</v>
      </c>
      <c r="J15" s="12" t="s">
        <v>22</v>
      </c>
      <c r="K15" s="12" t="s">
        <v>32</v>
      </c>
      <c r="L15" s="12" t="s">
        <v>30</v>
      </c>
      <c r="M15" s="13">
        <v>45351</v>
      </c>
      <c r="N15" s="17">
        <v>179.97</v>
      </c>
      <c r="O15" s="18">
        <f t="shared" ca="1" si="0"/>
        <v>1</v>
      </c>
      <c r="P15" s="19">
        <f t="shared" si="1"/>
        <v>45412</v>
      </c>
      <c r="Q15" s="42" t="s">
        <v>850</v>
      </c>
      <c r="R15" s="43"/>
      <c r="X15" s="25" t="str">
        <f t="shared" si="3"/>
        <v>APP</v>
      </c>
      <c r="Y15" s="25" t="str">
        <f t="shared" si="4"/>
        <v>STD.</v>
      </c>
    </row>
    <row r="16" spans="1:25" ht="17.5" customHeight="1" thickBot="1">
      <c r="A16" s="12" t="s">
        <v>113</v>
      </c>
      <c r="B16" s="13">
        <v>45409</v>
      </c>
      <c r="C16" s="12" t="s">
        <v>363</v>
      </c>
      <c r="D16" s="12" t="s">
        <v>51</v>
      </c>
      <c r="E16" s="12" t="s">
        <v>603</v>
      </c>
      <c r="F16" s="12" t="s">
        <v>53</v>
      </c>
      <c r="G16" s="12" t="s">
        <v>17</v>
      </c>
      <c r="H16" s="14">
        <v>3</v>
      </c>
      <c r="I16" s="14">
        <v>699.99</v>
      </c>
      <c r="J16" s="12" t="s">
        <v>22</v>
      </c>
      <c r="K16" s="12" t="s">
        <v>38</v>
      </c>
      <c r="L16" s="12" t="s">
        <v>20</v>
      </c>
      <c r="M16" s="13">
        <v>44577</v>
      </c>
      <c r="N16" s="17">
        <v>2099.9699999999998</v>
      </c>
      <c r="O16" s="18">
        <f t="shared" ca="1" si="0"/>
        <v>4</v>
      </c>
      <c r="P16" s="19">
        <f t="shared" si="1"/>
        <v>45412</v>
      </c>
      <c r="Q16" s="27" t="s">
        <v>851</v>
      </c>
      <c r="R16" s="28">
        <f>R10</f>
        <v>229192.47000000032</v>
      </c>
      <c r="U16" s="3"/>
      <c r="X16" s="25" t="str">
        <f t="shared" si="3"/>
        <v>ELE</v>
      </c>
      <c r="Y16" s="25" t="str">
        <f t="shared" si="4"/>
        <v>BAS.</v>
      </c>
    </row>
    <row r="17" spans="1:25" ht="17.5" customHeight="1" thickBot="1">
      <c r="A17" s="12" t="s">
        <v>114</v>
      </c>
      <c r="B17" s="13">
        <v>45409</v>
      </c>
      <c r="C17" s="12" t="s">
        <v>364</v>
      </c>
      <c r="D17" s="12" t="s">
        <v>54</v>
      </c>
      <c r="E17" s="12" t="s">
        <v>604</v>
      </c>
      <c r="F17" s="12" t="s">
        <v>45</v>
      </c>
      <c r="G17" s="12" t="s">
        <v>17</v>
      </c>
      <c r="H17" s="14">
        <v>1</v>
      </c>
      <c r="I17" s="14">
        <v>899.99</v>
      </c>
      <c r="J17" s="12" t="s">
        <v>42</v>
      </c>
      <c r="K17" s="12" t="s">
        <v>32</v>
      </c>
      <c r="L17" s="12" t="s">
        <v>30</v>
      </c>
      <c r="M17" s="13">
        <v>44920</v>
      </c>
      <c r="N17" s="17">
        <v>899.99</v>
      </c>
      <c r="O17" s="18">
        <f t="shared" ca="1" si="0"/>
        <v>3</v>
      </c>
      <c r="P17" s="19">
        <f t="shared" si="1"/>
        <v>45412</v>
      </c>
      <c r="Q17" s="27" t="s">
        <v>848</v>
      </c>
      <c r="R17" s="28">
        <v>0.12737098212694448</v>
      </c>
      <c r="X17" s="25" t="str">
        <f t="shared" si="3"/>
        <v>ELE</v>
      </c>
      <c r="Y17" s="25" t="str">
        <f t="shared" si="4"/>
        <v>STD.</v>
      </c>
    </row>
    <row r="18" spans="1:25" ht="17.5" customHeight="1" thickBot="1">
      <c r="A18" s="12" t="s">
        <v>115</v>
      </c>
      <c r="B18" s="13">
        <v>45410</v>
      </c>
      <c r="C18" s="12" t="s">
        <v>365</v>
      </c>
      <c r="D18" s="12" t="s">
        <v>55</v>
      </c>
      <c r="E18" s="12" t="s">
        <v>605</v>
      </c>
      <c r="F18" s="12" t="s">
        <v>35</v>
      </c>
      <c r="G18" s="12" t="s">
        <v>36</v>
      </c>
      <c r="H18" s="14">
        <v>4</v>
      </c>
      <c r="I18" s="14">
        <v>149.99</v>
      </c>
      <c r="J18" s="12" t="s">
        <v>42</v>
      </c>
      <c r="K18" s="12" t="s">
        <v>32</v>
      </c>
      <c r="L18" s="12" t="s">
        <v>23</v>
      </c>
      <c r="M18" s="13">
        <v>45374</v>
      </c>
      <c r="N18" s="17">
        <v>599.96</v>
      </c>
      <c r="O18" s="18">
        <f t="shared" ca="1" si="0"/>
        <v>1</v>
      </c>
      <c r="P18" s="19">
        <f t="shared" si="1"/>
        <v>45412</v>
      </c>
      <c r="Q18" s="27" t="s">
        <v>849</v>
      </c>
      <c r="R18" s="28">
        <f>R16*(1-R17)</f>
        <v>200000.00000000003</v>
      </c>
      <c r="X18" s="25" t="str">
        <f t="shared" si="3"/>
        <v>FUR</v>
      </c>
      <c r="Y18" s="25" t="str">
        <f t="shared" si="4"/>
        <v>PREM.</v>
      </c>
    </row>
    <row r="19" spans="1:25" ht="17.5" customHeight="1" thickBot="1">
      <c r="A19" s="12" t="s">
        <v>116</v>
      </c>
      <c r="B19" s="13">
        <v>45410</v>
      </c>
      <c r="C19" s="12" t="s">
        <v>366</v>
      </c>
      <c r="D19" s="12" t="s">
        <v>56</v>
      </c>
      <c r="E19" s="12" t="s">
        <v>606</v>
      </c>
      <c r="F19" s="12" t="s">
        <v>53</v>
      </c>
      <c r="G19" s="12" t="s">
        <v>17</v>
      </c>
      <c r="H19" s="14">
        <v>2</v>
      </c>
      <c r="I19" s="14">
        <v>699.99</v>
      </c>
      <c r="J19" s="12" t="s">
        <v>18</v>
      </c>
      <c r="K19" s="12" t="s">
        <v>32</v>
      </c>
      <c r="L19" s="12" t="s">
        <v>20</v>
      </c>
      <c r="M19" s="13">
        <v>44781</v>
      </c>
      <c r="N19" s="17">
        <v>1399.98</v>
      </c>
      <c r="O19" s="18">
        <f t="shared" ca="1" si="0"/>
        <v>3</v>
      </c>
      <c r="P19" s="19">
        <f t="shared" si="1"/>
        <v>45412</v>
      </c>
      <c r="X19" s="25" t="str">
        <f t="shared" si="3"/>
        <v>ELE</v>
      </c>
      <c r="Y19" s="25" t="str">
        <f t="shared" si="4"/>
        <v>BAS.</v>
      </c>
    </row>
    <row r="20" spans="1:25" ht="17.5" customHeight="1" thickBot="1">
      <c r="A20" s="12" t="s">
        <v>117</v>
      </c>
      <c r="B20" s="13">
        <v>45410</v>
      </c>
      <c r="C20" s="12" t="s">
        <v>367</v>
      </c>
      <c r="D20" s="12" t="s">
        <v>55</v>
      </c>
      <c r="E20" s="12" t="s">
        <v>607</v>
      </c>
      <c r="F20" s="12" t="s">
        <v>45</v>
      </c>
      <c r="G20" s="12" t="s">
        <v>17</v>
      </c>
      <c r="H20" s="14">
        <v>4</v>
      </c>
      <c r="I20" s="14">
        <v>899.99</v>
      </c>
      <c r="J20" s="12" t="s">
        <v>22</v>
      </c>
      <c r="K20" s="12" t="s">
        <v>38</v>
      </c>
      <c r="L20" s="12" t="s">
        <v>30</v>
      </c>
      <c r="M20" s="13">
        <v>45327</v>
      </c>
      <c r="N20" s="17">
        <v>3599.96</v>
      </c>
      <c r="O20" s="18">
        <f t="shared" ca="1" si="0"/>
        <v>2</v>
      </c>
      <c r="P20" s="19">
        <f t="shared" si="1"/>
        <v>45412</v>
      </c>
      <c r="X20" s="25" t="str">
        <f t="shared" si="3"/>
        <v>ELE</v>
      </c>
      <c r="Y20" s="25" t="str">
        <f t="shared" si="4"/>
        <v>STD.</v>
      </c>
    </row>
    <row r="21" spans="1:25" ht="17.5" customHeight="1" thickBot="1">
      <c r="A21" s="12" t="s">
        <v>118</v>
      </c>
      <c r="B21" s="13">
        <v>45410</v>
      </c>
      <c r="C21" s="12" t="s">
        <v>368</v>
      </c>
      <c r="D21" s="12" t="s">
        <v>57</v>
      </c>
      <c r="E21" s="12" t="s">
        <v>608</v>
      </c>
      <c r="F21" s="12" t="s">
        <v>16</v>
      </c>
      <c r="G21" s="12" t="s">
        <v>17</v>
      </c>
      <c r="H21" s="14">
        <v>3</v>
      </c>
      <c r="I21" s="14">
        <v>249.99</v>
      </c>
      <c r="J21" s="12" t="s">
        <v>22</v>
      </c>
      <c r="K21" s="12" t="s">
        <v>32</v>
      </c>
      <c r="L21" s="12" t="s">
        <v>23</v>
      </c>
      <c r="M21" s="13">
        <v>45224</v>
      </c>
      <c r="N21" s="17">
        <v>749.97</v>
      </c>
      <c r="O21" s="18">
        <f t="shared" ca="1" si="0"/>
        <v>2</v>
      </c>
      <c r="P21" s="19">
        <f t="shared" si="1"/>
        <v>45412</v>
      </c>
      <c r="Q21" s="23" t="s">
        <v>876</v>
      </c>
      <c r="R21" s="2"/>
      <c r="X21" s="25" t="str">
        <f t="shared" si="3"/>
        <v>ELE</v>
      </c>
      <c r="Y21" s="25" t="str">
        <f t="shared" si="4"/>
        <v>PREM.</v>
      </c>
    </row>
    <row r="22" spans="1:25" ht="17.5" customHeight="1" thickBot="1">
      <c r="A22" s="12" t="s">
        <v>119</v>
      </c>
      <c r="B22" s="13">
        <v>45412</v>
      </c>
      <c r="C22" s="12" t="s">
        <v>369</v>
      </c>
      <c r="D22" s="12" t="s">
        <v>58</v>
      </c>
      <c r="E22" s="12" t="s">
        <v>609</v>
      </c>
      <c r="F22" s="12" t="s">
        <v>53</v>
      </c>
      <c r="G22" s="12" t="s">
        <v>17</v>
      </c>
      <c r="H22" s="14">
        <v>5</v>
      </c>
      <c r="I22" s="14">
        <v>699.99</v>
      </c>
      <c r="J22" s="12" t="s">
        <v>18</v>
      </c>
      <c r="K22" s="12" t="s">
        <v>38</v>
      </c>
      <c r="L22" s="12" t="s">
        <v>20</v>
      </c>
      <c r="M22" s="13">
        <v>45167</v>
      </c>
      <c r="N22" s="17">
        <v>3499.95</v>
      </c>
      <c r="O22" s="18">
        <f t="shared" ca="1" si="0"/>
        <v>2</v>
      </c>
      <c r="P22" s="19">
        <f t="shared" si="1"/>
        <v>45412</v>
      </c>
      <c r="Q22" s="29" t="str">
        <f>INDEX(D:D, MATCH(MAX(N:N), N:N, 0))</f>
        <v>Paul Baker</v>
      </c>
      <c r="X22" s="25" t="str">
        <f t="shared" si="3"/>
        <v>ELE</v>
      </c>
      <c r="Y22" s="25" t="str">
        <f t="shared" si="4"/>
        <v>BAS.</v>
      </c>
    </row>
    <row r="23" spans="1:25" ht="17.5" customHeight="1" thickBot="1">
      <c r="A23" s="12" t="s">
        <v>120</v>
      </c>
      <c r="B23" s="13">
        <v>45413</v>
      </c>
      <c r="C23" s="12" t="s">
        <v>370</v>
      </c>
      <c r="D23" s="12" t="s">
        <v>59</v>
      </c>
      <c r="E23" s="12" t="s">
        <v>610</v>
      </c>
      <c r="F23" s="12" t="s">
        <v>53</v>
      </c>
      <c r="G23" s="12" t="s">
        <v>17</v>
      </c>
      <c r="H23" s="14">
        <v>4</v>
      </c>
      <c r="I23" s="14">
        <v>699.99</v>
      </c>
      <c r="J23" s="12" t="s">
        <v>18</v>
      </c>
      <c r="K23" s="12" t="s">
        <v>46</v>
      </c>
      <c r="L23" s="12" t="s">
        <v>30</v>
      </c>
      <c r="M23" s="13">
        <v>44409</v>
      </c>
      <c r="N23" s="17">
        <v>2799.96</v>
      </c>
      <c r="O23" s="18">
        <f t="shared" ca="1" si="0"/>
        <v>4</v>
      </c>
      <c r="P23" s="19">
        <f t="shared" si="1"/>
        <v>45443</v>
      </c>
      <c r="X23" s="25" t="str">
        <f t="shared" si="3"/>
        <v>ELE</v>
      </c>
      <c r="Y23" s="25" t="str">
        <f t="shared" si="4"/>
        <v>STD.</v>
      </c>
    </row>
    <row r="24" spans="1:25" ht="17.5" customHeight="1" thickBot="1">
      <c r="A24" s="12" t="s">
        <v>121</v>
      </c>
      <c r="B24" s="13">
        <v>45415</v>
      </c>
      <c r="C24" s="12" t="s">
        <v>371</v>
      </c>
      <c r="D24" s="12" t="s">
        <v>60</v>
      </c>
      <c r="E24" s="12" t="s">
        <v>611</v>
      </c>
      <c r="F24" s="12" t="s">
        <v>16</v>
      </c>
      <c r="G24" s="12" t="s">
        <v>17</v>
      </c>
      <c r="H24" s="14">
        <v>4</v>
      </c>
      <c r="I24" s="14">
        <v>249.99</v>
      </c>
      <c r="J24" s="12" t="s">
        <v>28</v>
      </c>
      <c r="K24" s="12" t="s">
        <v>32</v>
      </c>
      <c r="L24" s="12" t="s">
        <v>30</v>
      </c>
      <c r="M24" s="13">
        <v>44468</v>
      </c>
      <c r="N24" s="17">
        <v>999.96</v>
      </c>
      <c r="O24" s="18">
        <f t="shared" ca="1" si="0"/>
        <v>4</v>
      </c>
      <c r="P24" s="19">
        <f t="shared" si="1"/>
        <v>45443</v>
      </c>
      <c r="X24" s="25" t="str">
        <f t="shared" si="3"/>
        <v>ELE</v>
      </c>
      <c r="Y24" s="25" t="str">
        <f t="shared" si="4"/>
        <v>STD.</v>
      </c>
    </row>
    <row r="25" spans="1:25" ht="17.5" customHeight="1" thickBot="1">
      <c r="A25" s="12" t="s">
        <v>122</v>
      </c>
      <c r="B25" s="13">
        <v>45416</v>
      </c>
      <c r="C25" s="12" t="s">
        <v>372</v>
      </c>
      <c r="D25" s="12" t="s">
        <v>55</v>
      </c>
      <c r="E25" s="12" t="s">
        <v>612</v>
      </c>
      <c r="F25" s="12" t="s">
        <v>62</v>
      </c>
      <c r="G25" s="12" t="s">
        <v>36</v>
      </c>
      <c r="H25" s="14">
        <v>4</v>
      </c>
      <c r="I25" s="14">
        <v>299.99</v>
      </c>
      <c r="J25" s="12" t="s">
        <v>18</v>
      </c>
      <c r="K25" s="12" t="s">
        <v>38</v>
      </c>
      <c r="L25" s="12" t="s">
        <v>23</v>
      </c>
      <c r="M25" s="13">
        <v>44716</v>
      </c>
      <c r="N25" s="17">
        <v>1199.96</v>
      </c>
      <c r="O25" s="18">
        <f t="shared" ca="1" si="0"/>
        <v>3</v>
      </c>
      <c r="P25" s="19">
        <f t="shared" si="1"/>
        <v>45443</v>
      </c>
      <c r="Q25" s="21" t="s">
        <v>877</v>
      </c>
      <c r="X25" s="25" t="str">
        <f t="shared" si="3"/>
        <v>FUR</v>
      </c>
      <c r="Y25" s="25" t="str">
        <f t="shared" si="4"/>
        <v>PREM.</v>
      </c>
    </row>
    <row r="26" spans="1:25" ht="17.5" customHeight="1" thickBot="1">
      <c r="A26" s="12" t="s">
        <v>123</v>
      </c>
      <c r="B26" s="13">
        <v>45422</v>
      </c>
      <c r="C26" s="12" t="s">
        <v>373</v>
      </c>
      <c r="D26" s="12" t="s">
        <v>63</v>
      </c>
      <c r="E26" s="12" t="s">
        <v>613</v>
      </c>
      <c r="F26" s="12" t="s">
        <v>16</v>
      </c>
      <c r="G26" s="12" t="s">
        <v>17</v>
      </c>
      <c r="H26" s="14">
        <v>5</v>
      </c>
      <c r="I26" s="14">
        <v>249.99</v>
      </c>
      <c r="J26" s="12" t="s">
        <v>22</v>
      </c>
      <c r="K26" s="12" t="s">
        <v>38</v>
      </c>
      <c r="L26" s="12" t="s">
        <v>30</v>
      </c>
      <c r="M26" s="13">
        <v>44525</v>
      </c>
      <c r="N26" s="17">
        <v>1249.95</v>
      </c>
      <c r="O26" s="18">
        <f t="shared" ca="1" si="0"/>
        <v>4</v>
      </c>
      <c r="P26" s="19">
        <f t="shared" si="1"/>
        <v>45443</v>
      </c>
      <c r="Q26" s="26" t="str">
        <f t="array" ref="Q26">INDEX(G2:G250, MATCH(MAX(COUNTIF(G2:G250, G2:G250)), COUNTIF(G2:G250, G2:G250), 0))</f>
        <v>Electronics</v>
      </c>
      <c r="X26" s="25" t="str">
        <f t="shared" si="3"/>
        <v>ELE</v>
      </c>
      <c r="Y26" s="25" t="str">
        <f t="shared" si="4"/>
        <v>STD.</v>
      </c>
    </row>
    <row r="27" spans="1:25" ht="17.5" customHeight="1" thickBot="1">
      <c r="A27" s="12" t="s">
        <v>124</v>
      </c>
      <c r="B27" s="13">
        <v>45424</v>
      </c>
      <c r="C27" s="12" t="s">
        <v>374</v>
      </c>
      <c r="D27" s="12" t="s">
        <v>48</v>
      </c>
      <c r="E27" s="12" t="s">
        <v>614</v>
      </c>
      <c r="F27" s="12" t="s">
        <v>62</v>
      </c>
      <c r="G27" s="12" t="s">
        <v>36</v>
      </c>
      <c r="H27" s="14">
        <v>5</v>
      </c>
      <c r="I27" s="14">
        <v>299.99</v>
      </c>
      <c r="J27" s="12" t="s">
        <v>28</v>
      </c>
      <c r="K27" s="12" t="s">
        <v>46</v>
      </c>
      <c r="L27" s="12" t="s">
        <v>20</v>
      </c>
      <c r="M27" s="13">
        <v>45168</v>
      </c>
      <c r="N27" s="17">
        <v>1499.95</v>
      </c>
      <c r="O27" s="18">
        <f t="shared" ca="1" si="0"/>
        <v>2</v>
      </c>
      <c r="P27" s="19">
        <f t="shared" si="1"/>
        <v>45443</v>
      </c>
      <c r="X27" s="25" t="str">
        <f t="shared" si="3"/>
        <v>FUR</v>
      </c>
      <c r="Y27" s="25" t="str">
        <f t="shared" si="4"/>
        <v>BAS.</v>
      </c>
    </row>
    <row r="28" spans="1:25" ht="17.5" customHeight="1" thickBot="1">
      <c r="A28" s="12" t="s">
        <v>125</v>
      </c>
      <c r="B28" s="13">
        <v>45424</v>
      </c>
      <c r="C28" s="12" t="s">
        <v>375</v>
      </c>
      <c r="D28" s="12" t="s">
        <v>64</v>
      </c>
      <c r="E28" s="12" t="s">
        <v>615</v>
      </c>
      <c r="F28" s="12" t="s">
        <v>66</v>
      </c>
      <c r="G28" s="12" t="s">
        <v>27</v>
      </c>
      <c r="H28" s="14">
        <v>3</v>
      </c>
      <c r="I28" s="14">
        <v>79.989999999999995</v>
      </c>
      <c r="J28" s="12" t="s">
        <v>28</v>
      </c>
      <c r="K28" s="12" t="s">
        <v>46</v>
      </c>
      <c r="L28" s="12" t="s">
        <v>23</v>
      </c>
      <c r="M28" s="13">
        <v>45012</v>
      </c>
      <c r="N28" s="17">
        <v>239.97</v>
      </c>
      <c r="O28" s="18">
        <f t="shared" ca="1" si="0"/>
        <v>2</v>
      </c>
      <c r="P28" s="19">
        <f t="shared" si="1"/>
        <v>45443</v>
      </c>
      <c r="X28" s="25" t="str">
        <f t="shared" si="3"/>
        <v>APP</v>
      </c>
      <c r="Y28" s="25" t="str">
        <f t="shared" si="4"/>
        <v>PREM.</v>
      </c>
    </row>
    <row r="29" spans="1:25" ht="17.5" customHeight="1" thickBot="1">
      <c r="A29" s="12" t="s">
        <v>126</v>
      </c>
      <c r="B29" s="13">
        <v>45424</v>
      </c>
      <c r="C29" s="12" t="s">
        <v>376</v>
      </c>
      <c r="D29" s="12" t="s">
        <v>59</v>
      </c>
      <c r="E29" s="12" t="s">
        <v>616</v>
      </c>
      <c r="F29" s="12" t="s">
        <v>68</v>
      </c>
      <c r="G29" s="12" t="s">
        <v>17</v>
      </c>
      <c r="H29" s="14">
        <v>5</v>
      </c>
      <c r="I29" s="14">
        <v>89.99</v>
      </c>
      <c r="J29" s="12" t="s">
        <v>18</v>
      </c>
      <c r="K29" s="12" t="s">
        <v>32</v>
      </c>
      <c r="L29" s="12" t="s">
        <v>23</v>
      </c>
      <c r="M29" s="13">
        <v>44919</v>
      </c>
      <c r="N29" s="17">
        <v>449.95</v>
      </c>
      <c r="O29" s="18">
        <f t="shared" ca="1" si="0"/>
        <v>3</v>
      </c>
      <c r="P29" s="19">
        <f t="shared" si="1"/>
        <v>45443</v>
      </c>
      <c r="X29" s="25" t="str">
        <f t="shared" si="3"/>
        <v>ELE</v>
      </c>
      <c r="Y29" s="25" t="str">
        <f t="shared" si="4"/>
        <v>PREM.</v>
      </c>
    </row>
    <row r="30" spans="1:25" ht="17.5" customHeight="1" thickBot="1">
      <c r="A30" s="12" t="s">
        <v>127</v>
      </c>
      <c r="B30" s="13">
        <v>45425</v>
      </c>
      <c r="C30" s="12" t="s">
        <v>377</v>
      </c>
      <c r="D30" s="12" t="s">
        <v>69</v>
      </c>
      <c r="E30" s="12" t="s">
        <v>617</v>
      </c>
      <c r="F30" s="12" t="s">
        <v>26</v>
      </c>
      <c r="G30" s="12" t="s">
        <v>27</v>
      </c>
      <c r="H30" s="14">
        <v>2</v>
      </c>
      <c r="I30" s="14">
        <v>59.99</v>
      </c>
      <c r="J30" s="12" t="s">
        <v>42</v>
      </c>
      <c r="K30" s="12" t="s">
        <v>19</v>
      </c>
      <c r="L30" s="12" t="s">
        <v>30</v>
      </c>
      <c r="M30" s="13">
        <v>45214</v>
      </c>
      <c r="N30" s="17">
        <v>119.98</v>
      </c>
      <c r="O30" s="18">
        <f t="shared" ca="1" si="0"/>
        <v>2</v>
      </c>
      <c r="P30" s="19">
        <f t="shared" si="1"/>
        <v>45443</v>
      </c>
      <c r="X30" s="25" t="str">
        <f t="shared" si="3"/>
        <v>APP</v>
      </c>
      <c r="Y30" s="25" t="str">
        <f t="shared" si="4"/>
        <v>STD.</v>
      </c>
    </row>
    <row r="31" spans="1:25" ht="17.5" customHeight="1" thickBot="1">
      <c r="A31" s="12" t="s">
        <v>128</v>
      </c>
      <c r="B31" s="13">
        <v>45427</v>
      </c>
      <c r="C31" s="12" t="s">
        <v>378</v>
      </c>
      <c r="D31" s="12" t="s">
        <v>70</v>
      </c>
      <c r="E31" s="12" t="s">
        <v>618</v>
      </c>
      <c r="F31" s="12" t="s">
        <v>26</v>
      </c>
      <c r="G31" s="12" t="s">
        <v>27</v>
      </c>
      <c r="H31" s="14">
        <v>4</v>
      </c>
      <c r="I31" s="14">
        <v>59.99</v>
      </c>
      <c r="J31" s="12" t="s">
        <v>42</v>
      </c>
      <c r="K31" s="12" t="s">
        <v>46</v>
      </c>
      <c r="L31" s="12" t="s">
        <v>30</v>
      </c>
      <c r="M31" s="13">
        <v>44867</v>
      </c>
      <c r="N31" s="17">
        <v>239.96</v>
      </c>
      <c r="O31" s="18">
        <f t="shared" ca="1" si="0"/>
        <v>3</v>
      </c>
      <c r="P31" s="19">
        <f t="shared" si="1"/>
        <v>45443</v>
      </c>
      <c r="X31" s="25" t="str">
        <f t="shared" si="3"/>
        <v>APP</v>
      </c>
      <c r="Y31" s="25" t="str">
        <f t="shared" si="4"/>
        <v>STD.</v>
      </c>
    </row>
    <row r="32" spans="1:25" ht="17.5" customHeight="1" thickBot="1">
      <c r="A32" s="12" t="s">
        <v>129</v>
      </c>
      <c r="B32" s="13">
        <v>45427</v>
      </c>
      <c r="C32" s="12" t="s">
        <v>379</v>
      </c>
      <c r="D32" s="12" t="s">
        <v>41</v>
      </c>
      <c r="E32" s="12" t="s">
        <v>619</v>
      </c>
      <c r="F32" s="12" t="s">
        <v>72</v>
      </c>
      <c r="G32" s="12" t="s">
        <v>36</v>
      </c>
      <c r="H32" s="14">
        <v>5</v>
      </c>
      <c r="I32" s="14">
        <v>199.99</v>
      </c>
      <c r="J32" s="12" t="s">
        <v>18</v>
      </c>
      <c r="K32" s="12" t="s">
        <v>29</v>
      </c>
      <c r="L32" s="12" t="s">
        <v>30</v>
      </c>
      <c r="M32" s="13">
        <v>44412</v>
      </c>
      <c r="N32" s="17">
        <v>999.95</v>
      </c>
      <c r="O32" s="18">
        <f t="shared" ca="1" si="0"/>
        <v>4</v>
      </c>
      <c r="P32" s="19">
        <f t="shared" si="1"/>
        <v>45443</v>
      </c>
      <c r="X32" s="25" t="str">
        <f t="shared" si="3"/>
        <v>FUR</v>
      </c>
      <c r="Y32" s="25" t="str">
        <f t="shared" si="4"/>
        <v>STD.</v>
      </c>
    </row>
    <row r="33" spans="1:25" ht="17.5" customHeight="1" thickBot="1">
      <c r="A33" s="12" t="s">
        <v>130</v>
      </c>
      <c r="B33" s="13">
        <v>45428</v>
      </c>
      <c r="C33" s="12" t="s">
        <v>380</v>
      </c>
      <c r="D33" s="12" t="s">
        <v>73</v>
      </c>
      <c r="E33" s="12" t="s">
        <v>620</v>
      </c>
      <c r="F33" s="12" t="s">
        <v>35</v>
      </c>
      <c r="G33" s="12" t="s">
        <v>36</v>
      </c>
      <c r="H33" s="14">
        <v>2</v>
      </c>
      <c r="I33" s="14">
        <v>149.99</v>
      </c>
      <c r="J33" s="12" t="s">
        <v>22</v>
      </c>
      <c r="K33" s="12" t="s">
        <v>38</v>
      </c>
      <c r="L33" s="12" t="s">
        <v>20</v>
      </c>
      <c r="M33" s="13">
        <v>44823</v>
      </c>
      <c r="N33" s="17">
        <v>299.98</v>
      </c>
      <c r="O33" s="18">
        <f t="shared" ca="1" si="0"/>
        <v>3</v>
      </c>
      <c r="P33" s="19">
        <f t="shared" si="1"/>
        <v>45443</v>
      </c>
      <c r="X33" s="25" t="str">
        <f t="shared" si="3"/>
        <v>FUR</v>
      </c>
      <c r="Y33" s="25" t="str">
        <f t="shared" si="4"/>
        <v>BAS.</v>
      </c>
    </row>
    <row r="34" spans="1:25" ht="17.5" customHeight="1" thickBot="1">
      <c r="A34" s="12" t="s">
        <v>131</v>
      </c>
      <c r="B34" s="13">
        <v>45430</v>
      </c>
      <c r="C34" s="12" t="s">
        <v>381</v>
      </c>
      <c r="D34" s="12" t="s">
        <v>74</v>
      </c>
      <c r="E34" s="12" t="s">
        <v>621</v>
      </c>
      <c r="F34" s="12" t="s">
        <v>35</v>
      </c>
      <c r="G34" s="12" t="s">
        <v>36</v>
      </c>
      <c r="H34" s="14">
        <v>3</v>
      </c>
      <c r="I34" s="14">
        <v>149.99</v>
      </c>
      <c r="J34" s="12" t="s">
        <v>22</v>
      </c>
      <c r="K34" s="12" t="s">
        <v>38</v>
      </c>
      <c r="L34" s="12" t="s">
        <v>23</v>
      </c>
      <c r="M34" s="13">
        <v>45068</v>
      </c>
      <c r="N34" s="17">
        <v>449.97</v>
      </c>
      <c r="O34" s="18">
        <f t="shared" ca="1" si="0"/>
        <v>2</v>
      </c>
      <c r="P34" s="19">
        <f t="shared" si="1"/>
        <v>45443</v>
      </c>
      <c r="X34" s="25" t="str">
        <f t="shared" si="3"/>
        <v>FUR</v>
      </c>
      <c r="Y34" s="25" t="str">
        <f t="shared" si="4"/>
        <v>PREM.</v>
      </c>
    </row>
    <row r="35" spans="1:25" ht="17.5" customHeight="1" thickBot="1">
      <c r="A35" s="12" t="s">
        <v>132</v>
      </c>
      <c r="B35" s="13">
        <v>45432</v>
      </c>
      <c r="C35" s="12" t="s">
        <v>382</v>
      </c>
      <c r="D35" s="12" t="s">
        <v>24</v>
      </c>
      <c r="E35" s="12" t="s">
        <v>622</v>
      </c>
      <c r="F35" s="12" t="s">
        <v>45</v>
      </c>
      <c r="G35" s="12" t="s">
        <v>17</v>
      </c>
      <c r="H35" s="14">
        <v>1</v>
      </c>
      <c r="I35" s="14">
        <v>899.99</v>
      </c>
      <c r="J35" s="12" t="s">
        <v>22</v>
      </c>
      <c r="K35" s="12" t="s">
        <v>38</v>
      </c>
      <c r="L35" s="12" t="s">
        <v>23</v>
      </c>
      <c r="M35" s="13">
        <v>44578</v>
      </c>
      <c r="N35" s="17">
        <v>899.99</v>
      </c>
      <c r="O35" s="18">
        <f t="shared" ca="1" si="0"/>
        <v>4</v>
      </c>
      <c r="P35" s="19">
        <f t="shared" si="1"/>
        <v>45443</v>
      </c>
      <c r="X35" s="25" t="str">
        <f t="shared" si="3"/>
        <v>ELE</v>
      </c>
      <c r="Y35" s="25" t="str">
        <f t="shared" si="4"/>
        <v>PREM.</v>
      </c>
    </row>
    <row r="36" spans="1:25" ht="17.5" customHeight="1" thickBot="1">
      <c r="A36" s="12" t="s">
        <v>133</v>
      </c>
      <c r="B36" s="13">
        <v>45434</v>
      </c>
      <c r="C36" s="12" t="s">
        <v>383</v>
      </c>
      <c r="D36" s="12" t="s">
        <v>59</v>
      </c>
      <c r="E36" s="12" t="s">
        <v>623</v>
      </c>
      <c r="F36" s="12" t="s">
        <v>62</v>
      </c>
      <c r="G36" s="12" t="s">
        <v>36</v>
      </c>
      <c r="H36" s="14">
        <v>3</v>
      </c>
      <c r="I36" s="14">
        <v>299.99</v>
      </c>
      <c r="J36" s="12" t="s">
        <v>22</v>
      </c>
      <c r="K36" s="12" t="s">
        <v>46</v>
      </c>
      <c r="L36" s="12" t="s">
        <v>20</v>
      </c>
      <c r="M36" s="13">
        <v>44824</v>
      </c>
      <c r="N36" s="17">
        <v>899.97</v>
      </c>
      <c r="O36" s="18">
        <f t="shared" ca="1" si="0"/>
        <v>3</v>
      </c>
      <c r="P36" s="19">
        <f t="shared" si="1"/>
        <v>45443</v>
      </c>
      <c r="X36" s="25" t="str">
        <f t="shared" si="3"/>
        <v>FUR</v>
      </c>
      <c r="Y36" s="25" t="str">
        <f t="shared" si="4"/>
        <v>BAS.</v>
      </c>
    </row>
    <row r="37" spans="1:25" ht="17.5" customHeight="1" thickBot="1">
      <c r="A37" s="12" t="s">
        <v>134</v>
      </c>
      <c r="B37" s="13">
        <v>45435</v>
      </c>
      <c r="C37" s="12" t="s">
        <v>384</v>
      </c>
      <c r="D37" s="12" t="s">
        <v>73</v>
      </c>
      <c r="E37" s="12" t="s">
        <v>624</v>
      </c>
      <c r="F37" s="12" t="s">
        <v>66</v>
      </c>
      <c r="G37" s="12" t="s">
        <v>27</v>
      </c>
      <c r="H37" s="14">
        <v>3</v>
      </c>
      <c r="I37" s="14">
        <v>79.989999999999995</v>
      </c>
      <c r="J37" s="12" t="s">
        <v>18</v>
      </c>
      <c r="K37" s="12" t="s">
        <v>29</v>
      </c>
      <c r="L37" s="12" t="s">
        <v>20</v>
      </c>
      <c r="M37" s="13">
        <v>45046</v>
      </c>
      <c r="N37" s="17">
        <v>239.97</v>
      </c>
      <c r="O37" s="18">
        <f t="shared" ca="1" si="0"/>
        <v>2</v>
      </c>
      <c r="P37" s="19">
        <f t="shared" si="1"/>
        <v>45443</v>
      </c>
      <c r="X37" s="25" t="str">
        <f t="shared" si="3"/>
        <v>APP</v>
      </c>
      <c r="Y37" s="25" t="str">
        <f t="shared" si="4"/>
        <v>BAS.</v>
      </c>
    </row>
    <row r="38" spans="1:25" ht="17.5" customHeight="1" thickBot="1">
      <c r="A38" s="12" t="s">
        <v>135</v>
      </c>
      <c r="B38" s="13">
        <v>45438</v>
      </c>
      <c r="C38" s="12" t="s">
        <v>385</v>
      </c>
      <c r="D38" s="12" t="s">
        <v>75</v>
      </c>
      <c r="E38" s="12" t="s">
        <v>625</v>
      </c>
      <c r="F38" s="12" t="s">
        <v>72</v>
      </c>
      <c r="G38" s="12" t="s">
        <v>36</v>
      </c>
      <c r="H38" s="14">
        <v>3</v>
      </c>
      <c r="I38" s="14">
        <v>199.99</v>
      </c>
      <c r="J38" s="12" t="s">
        <v>22</v>
      </c>
      <c r="K38" s="12" t="s">
        <v>32</v>
      </c>
      <c r="L38" s="12" t="s">
        <v>23</v>
      </c>
      <c r="M38" s="13">
        <v>45292</v>
      </c>
      <c r="N38" s="17">
        <v>599.97</v>
      </c>
      <c r="O38" s="18">
        <f t="shared" ca="1" si="0"/>
        <v>2</v>
      </c>
      <c r="P38" s="19">
        <f t="shared" si="1"/>
        <v>45443</v>
      </c>
      <c r="X38" s="25" t="str">
        <f t="shared" si="3"/>
        <v>FUR</v>
      </c>
      <c r="Y38" s="25" t="str">
        <f t="shared" si="4"/>
        <v>PREM.</v>
      </c>
    </row>
    <row r="39" spans="1:25" ht="17.5" customHeight="1" thickBot="1">
      <c r="A39" s="12" t="s">
        <v>136</v>
      </c>
      <c r="B39" s="13">
        <v>45440</v>
      </c>
      <c r="C39" s="12" t="s">
        <v>386</v>
      </c>
      <c r="D39" s="12" t="s">
        <v>76</v>
      </c>
      <c r="E39" s="12" t="s">
        <v>626</v>
      </c>
      <c r="F39" s="12" t="s">
        <v>53</v>
      </c>
      <c r="G39" s="12" t="s">
        <v>17</v>
      </c>
      <c r="H39" s="14">
        <v>5</v>
      </c>
      <c r="I39" s="14">
        <v>699.99</v>
      </c>
      <c r="J39" s="12" t="s">
        <v>28</v>
      </c>
      <c r="K39" s="12" t="s">
        <v>38</v>
      </c>
      <c r="L39" s="12" t="s">
        <v>30</v>
      </c>
      <c r="M39" s="13">
        <v>44407</v>
      </c>
      <c r="N39" s="17">
        <v>3499.95</v>
      </c>
      <c r="O39" s="18">
        <f t="shared" ca="1" si="0"/>
        <v>4</v>
      </c>
      <c r="P39" s="19">
        <f t="shared" si="1"/>
        <v>45443</v>
      </c>
      <c r="X39" s="25" t="str">
        <f t="shared" si="3"/>
        <v>ELE</v>
      </c>
      <c r="Y39" s="25" t="str">
        <f t="shared" si="4"/>
        <v>STD.</v>
      </c>
    </row>
    <row r="40" spans="1:25" ht="17.5" customHeight="1" thickBot="1">
      <c r="A40" s="12" t="s">
        <v>137</v>
      </c>
      <c r="B40" s="13">
        <v>45441</v>
      </c>
      <c r="C40" s="12" t="s">
        <v>387</v>
      </c>
      <c r="D40" s="12" t="s">
        <v>77</v>
      </c>
      <c r="E40" s="12" t="s">
        <v>627</v>
      </c>
      <c r="F40" s="12" t="s">
        <v>68</v>
      </c>
      <c r="G40" s="12" t="s">
        <v>17</v>
      </c>
      <c r="H40" s="14">
        <v>3</v>
      </c>
      <c r="I40" s="14">
        <v>89.99</v>
      </c>
      <c r="J40" s="12" t="s">
        <v>28</v>
      </c>
      <c r="K40" s="12" t="s">
        <v>19</v>
      </c>
      <c r="L40" s="12" t="s">
        <v>23</v>
      </c>
      <c r="M40" s="13">
        <v>45120</v>
      </c>
      <c r="N40" s="17">
        <v>269.97000000000003</v>
      </c>
      <c r="O40" s="18">
        <f t="shared" ca="1" si="0"/>
        <v>2</v>
      </c>
      <c r="P40" s="19">
        <f t="shared" si="1"/>
        <v>45443</v>
      </c>
      <c r="X40" s="25" t="str">
        <f t="shared" si="3"/>
        <v>ELE</v>
      </c>
      <c r="Y40" s="25" t="str">
        <f t="shared" si="4"/>
        <v>PREM.</v>
      </c>
    </row>
    <row r="41" spans="1:25" ht="17.5" customHeight="1" thickBot="1">
      <c r="A41" s="12" t="s">
        <v>138</v>
      </c>
      <c r="B41" s="13">
        <v>45443</v>
      </c>
      <c r="C41" s="12" t="s">
        <v>388</v>
      </c>
      <c r="D41" s="12" t="s">
        <v>78</v>
      </c>
      <c r="E41" s="12" t="s">
        <v>628</v>
      </c>
      <c r="F41" s="12" t="s">
        <v>66</v>
      </c>
      <c r="G41" s="12" t="s">
        <v>27</v>
      </c>
      <c r="H41" s="14">
        <v>1</v>
      </c>
      <c r="I41" s="14">
        <v>79.989999999999995</v>
      </c>
      <c r="J41" s="12" t="s">
        <v>18</v>
      </c>
      <c r="K41" s="12" t="s">
        <v>32</v>
      </c>
      <c r="L41" s="12" t="s">
        <v>30</v>
      </c>
      <c r="M41" s="13">
        <v>44917</v>
      </c>
      <c r="N41" s="17">
        <v>79.989999999999995</v>
      </c>
      <c r="O41" s="18">
        <f t="shared" ca="1" si="0"/>
        <v>3</v>
      </c>
      <c r="P41" s="19">
        <f t="shared" si="1"/>
        <v>45443</v>
      </c>
      <c r="X41" s="25" t="str">
        <f t="shared" si="3"/>
        <v>APP</v>
      </c>
      <c r="Y41" s="25" t="str">
        <f t="shared" si="4"/>
        <v>STD.</v>
      </c>
    </row>
    <row r="42" spans="1:25" ht="17.5" customHeight="1" thickBot="1">
      <c r="A42" s="12" t="s">
        <v>139</v>
      </c>
      <c r="B42" s="13">
        <v>45444</v>
      </c>
      <c r="C42" s="12" t="s">
        <v>389</v>
      </c>
      <c r="D42" s="12" t="s">
        <v>79</v>
      </c>
      <c r="E42" s="12" t="s">
        <v>629</v>
      </c>
      <c r="F42" s="12" t="s">
        <v>26</v>
      </c>
      <c r="G42" s="12" t="s">
        <v>27</v>
      </c>
      <c r="H42" s="14">
        <v>2</v>
      </c>
      <c r="I42" s="14">
        <v>59.99</v>
      </c>
      <c r="J42" s="12" t="s">
        <v>18</v>
      </c>
      <c r="K42" s="12" t="s">
        <v>38</v>
      </c>
      <c r="L42" s="12" t="s">
        <v>20</v>
      </c>
      <c r="M42" s="13">
        <v>45390</v>
      </c>
      <c r="N42" s="17">
        <v>119.98</v>
      </c>
      <c r="O42" s="18">
        <f t="shared" ca="1" si="0"/>
        <v>1</v>
      </c>
      <c r="P42" s="19">
        <f t="shared" si="1"/>
        <v>45473</v>
      </c>
      <c r="X42" s="25" t="str">
        <f t="shared" si="3"/>
        <v>APP</v>
      </c>
      <c r="Y42" s="25" t="str">
        <f t="shared" si="4"/>
        <v>BAS.</v>
      </c>
    </row>
    <row r="43" spans="1:25" ht="17.5" customHeight="1" thickBot="1">
      <c r="A43" s="12" t="s">
        <v>140</v>
      </c>
      <c r="B43" s="13">
        <v>45444</v>
      </c>
      <c r="C43" s="12" t="s">
        <v>390</v>
      </c>
      <c r="D43" s="12" t="s">
        <v>41</v>
      </c>
      <c r="E43" s="12" t="s">
        <v>630</v>
      </c>
      <c r="F43" s="12" t="s">
        <v>68</v>
      </c>
      <c r="G43" s="12" t="s">
        <v>17</v>
      </c>
      <c r="H43" s="14">
        <v>1</v>
      </c>
      <c r="I43" s="14">
        <v>89.99</v>
      </c>
      <c r="J43" s="12" t="s">
        <v>18</v>
      </c>
      <c r="K43" s="12" t="s">
        <v>32</v>
      </c>
      <c r="L43" s="12" t="s">
        <v>20</v>
      </c>
      <c r="M43" s="13">
        <v>45141</v>
      </c>
      <c r="N43" s="17">
        <v>89.99</v>
      </c>
      <c r="O43" s="18">
        <f t="shared" ca="1" si="0"/>
        <v>2</v>
      </c>
      <c r="P43" s="19">
        <f t="shared" si="1"/>
        <v>45473</v>
      </c>
      <c r="X43" s="25" t="str">
        <f t="shared" si="3"/>
        <v>ELE</v>
      </c>
      <c r="Y43" s="25" t="str">
        <f t="shared" si="4"/>
        <v>BAS.</v>
      </c>
    </row>
    <row r="44" spans="1:25" ht="17.5" customHeight="1" thickBot="1">
      <c r="A44" s="12" t="s">
        <v>141</v>
      </c>
      <c r="B44" s="13">
        <v>45446</v>
      </c>
      <c r="C44" s="12" t="s">
        <v>391</v>
      </c>
      <c r="D44" s="12" t="s">
        <v>80</v>
      </c>
      <c r="E44" s="12" t="s">
        <v>631</v>
      </c>
      <c r="F44" s="12" t="s">
        <v>68</v>
      </c>
      <c r="G44" s="12" t="s">
        <v>17</v>
      </c>
      <c r="H44" s="14">
        <v>5</v>
      </c>
      <c r="I44" s="14">
        <v>89.99</v>
      </c>
      <c r="J44" s="12" t="s">
        <v>22</v>
      </c>
      <c r="K44" s="12" t="s">
        <v>46</v>
      </c>
      <c r="L44" s="12" t="s">
        <v>30</v>
      </c>
      <c r="M44" s="13">
        <v>44587</v>
      </c>
      <c r="N44" s="17">
        <v>449.95</v>
      </c>
      <c r="O44" s="18">
        <f t="shared" ca="1" si="0"/>
        <v>4</v>
      </c>
      <c r="P44" s="19">
        <f t="shared" si="1"/>
        <v>45473</v>
      </c>
      <c r="X44" s="25" t="str">
        <f t="shared" si="3"/>
        <v>ELE</v>
      </c>
      <c r="Y44" s="25" t="str">
        <f t="shared" si="4"/>
        <v>STD.</v>
      </c>
    </row>
    <row r="45" spans="1:25" ht="17.5" customHeight="1" thickBot="1">
      <c r="A45" s="12" t="s">
        <v>142</v>
      </c>
      <c r="B45" s="13">
        <v>45449</v>
      </c>
      <c r="C45" s="12" t="s">
        <v>392</v>
      </c>
      <c r="D45" s="12" t="s">
        <v>21</v>
      </c>
      <c r="E45" s="12" t="s">
        <v>632</v>
      </c>
      <c r="F45" s="12" t="s">
        <v>16</v>
      </c>
      <c r="G45" s="12" t="s">
        <v>17</v>
      </c>
      <c r="H45" s="14">
        <v>5</v>
      </c>
      <c r="I45" s="14">
        <v>249.99</v>
      </c>
      <c r="J45" s="12" t="s">
        <v>22</v>
      </c>
      <c r="K45" s="12" t="s">
        <v>46</v>
      </c>
      <c r="L45" s="12" t="s">
        <v>30</v>
      </c>
      <c r="M45" s="13">
        <v>44707</v>
      </c>
      <c r="N45" s="17">
        <v>1249.95</v>
      </c>
      <c r="O45" s="18">
        <f t="shared" ca="1" si="0"/>
        <v>3</v>
      </c>
      <c r="P45" s="19">
        <f t="shared" si="1"/>
        <v>45473</v>
      </c>
      <c r="X45" s="25" t="str">
        <f t="shared" si="3"/>
        <v>ELE</v>
      </c>
      <c r="Y45" s="25" t="str">
        <f t="shared" si="4"/>
        <v>STD.</v>
      </c>
    </row>
    <row r="46" spans="1:25" ht="17.5" customHeight="1" thickBot="1">
      <c r="A46" s="12" t="s">
        <v>143</v>
      </c>
      <c r="B46" s="13">
        <v>45449</v>
      </c>
      <c r="C46" s="12" t="s">
        <v>393</v>
      </c>
      <c r="D46" s="12" t="s">
        <v>81</v>
      </c>
      <c r="E46" s="12" t="s">
        <v>633</v>
      </c>
      <c r="F46" s="12" t="s">
        <v>68</v>
      </c>
      <c r="G46" s="12" t="s">
        <v>17</v>
      </c>
      <c r="H46" s="14">
        <v>1</v>
      </c>
      <c r="I46" s="14">
        <v>89.99</v>
      </c>
      <c r="J46" s="12" t="s">
        <v>22</v>
      </c>
      <c r="K46" s="12" t="s">
        <v>29</v>
      </c>
      <c r="L46" s="12" t="s">
        <v>30</v>
      </c>
      <c r="M46" s="13">
        <v>44582</v>
      </c>
      <c r="N46" s="17">
        <v>89.99</v>
      </c>
      <c r="O46" s="18">
        <f t="shared" ca="1" si="0"/>
        <v>4</v>
      </c>
      <c r="P46" s="19">
        <f t="shared" si="1"/>
        <v>45473</v>
      </c>
      <c r="X46" s="25" t="str">
        <f t="shared" si="3"/>
        <v>ELE</v>
      </c>
      <c r="Y46" s="25" t="str">
        <f t="shared" si="4"/>
        <v>STD.</v>
      </c>
    </row>
    <row r="47" spans="1:25" ht="17.5" customHeight="1" thickBot="1">
      <c r="A47" s="12" t="s">
        <v>144</v>
      </c>
      <c r="B47" s="13">
        <v>45450</v>
      </c>
      <c r="C47" s="12" t="s">
        <v>394</v>
      </c>
      <c r="D47" s="12" t="s">
        <v>33</v>
      </c>
      <c r="E47" s="12" t="s">
        <v>634</v>
      </c>
      <c r="F47" s="12" t="s">
        <v>35</v>
      </c>
      <c r="G47" s="12" t="s">
        <v>36</v>
      </c>
      <c r="H47" s="14">
        <v>2</v>
      </c>
      <c r="I47" s="14">
        <v>149.99</v>
      </c>
      <c r="J47" s="12" t="s">
        <v>18</v>
      </c>
      <c r="K47" s="12" t="s">
        <v>46</v>
      </c>
      <c r="L47" s="12" t="s">
        <v>23</v>
      </c>
      <c r="M47" s="13">
        <v>44645</v>
      </c>
      <c r="N47" s="17">
        <v>299.98</v>
      </c>
      <c r="O47" s="18">
        <f t="shared" ca="1" si="0"/>
        <v>3</v>
      </c>
      <c r="P47" s="19">
        <f t="shared" si="1"/>
        <v>45473</v>
      </c>
      <c r="X47" s="25" t="str">
        <f t="shared" si="3"/>
        <v>FUR</v>
      </c>
      <c r="Y47" s="25" t="str">
        <f t="shared" si="4"/>
        <v>PREM.</v>
      </c>
    </row>
    <row r="48" spans="1:25" ht="17.5" customHeight="1" thickBot="1">
      <c r="A48" s="12" t="s">
        <v>145</v>
      </c>
      <c r="B48" s="13">
        <v>45452</v>
      </c>
      <c r="C48" s="12" t="s">
        <v>395</v>
      </c>
      <c r="D48" s="12" t="s">
        <v>82</v>
      </c>
      <c r="E48" s="12" t="s">
        <v>635</v>
      </c>
      <c r="F48" s="12" t="s">
        <v>26</v>
      </c>
      <c r="G48" s="12" t="s">
        <v>27</v>
      </c>
      <c r="H48" s="14">
        <v>4</v>
      </c>
      <c r="I48" s="14">
        <v>59.99</v>
      </c>
      <c r="J48" s="12" t="s">
        <v>18</v>
      </c>
      <c r="K48" s="12" t="s">
        <v>46</v>
      </c>
      <c r="L48" s="12" t="s">
        <v>30</v>
      </c>
      <c r="M48" s="13">
        <v>44435</v>
      </c>
      <c r="N48" s="17">
        <v>239.96</v>
      </c>
      <c r="O48" s="18">
        <f t="shared" ca="1" si="0"/>
        <v>4</v>
      </c>
      <c r="P48" s="19">
        <f t="shared" si="1"/>
        <v>45473</v>
      </c>
      <c r="X48" s="25" t="str">
        <f t="shared" si="3"/>
        <v>APP</v>
      </c>
      <c r="Y48" s="25" t="str">
        <f t="shared" si="4"/>
        <v>STD.</v>
      </c>
    </row>
    <row r="49" spans="1:25" ht="17.5" customHeight="1" thickBot="1">
      <c r="A49" s="12" t="s">
        <v>146</v>
      </c>
      <c r="B49" s="13">
        <v>45456</v>
      </c>
      <c r="C49" s="12" t="s">
        <v>396</v>
      </c>
      <c r="D49" s="12" t="s">
        <v>73</v>
      </c>
      <c r="E49" s="12" t="s">
        <v>636</v>
      </c>
      <c r="F49" s="12" t="s">
        <v>68</v>
      </c>
      <c r="G49" s="12" t="s">
        <v>17</v>
      </c>
      <c r="H49" s="14">
        <v>5</v>
      </c>
      <c r="I49" s="14">
        <v>89.99</v>
      </c>
      <c r="J49" s="12" t="s">
        <v>18</v>
      </c>
      <c r="K49" s="12" t="s">
        <v>19</v>
      </c>
      <c r="L49" s="12" t="s">
        <v>23</v>
      </c>
      <c r="M49" s="13">
        <v>44579</v>
      </c>
      <c r="N49" s="17">
        <v>449.95</v>
      </c>
      <c r="O49" s="18">
        <f t="shared" ca="1" si="0"/>
        <v>4</v>
      </c>
      <c r="P49" s="19">
        <f t="shared" si="1"/>
        <v>45473</v>
      </c>
      <c r="X49" s="25" t="str">
        <f t="shared" si="3"/>
        <v>ELE</v>
      </c>
      <c r="Y49" s="25" t="str">
        <f t="shared" si="4"/>
        <v>PREM.</v>
      </c>
    </row>
    <row r="50" spans="1:25" ht="17.5" customHeight="1" thickBot="1">
      <c r="A50" s="12" t="s">
        <v>147</v>
      </c>
      <c r="B50" s="13">
        <v>45459</v>
      </c>
      <c r="C50" s="12" t="s">
        <v>397</v>
      </c>
      <c r="D50" s="12" t="s">
        <v>59</v>
      </c>
      <c r="E50" s="12" t="s">
        <v>637</v>
      </c>
      <c r="F50" s="12" t="s">
        <v>68</v>
      </c>
      <c r="G50" s="12" t="s">
        <v>17</v>
      </c>
      <c r="H50" s="14">
        <v>2</v>
      </c>
      <c r="I50" s="14">
        <v>89.99</v>
      </c>
      <c r="J50" s="12" t="s">
        <v>22</v>
      </c>
      <c r="K50" s="12" t="s">
        <v>29</v>
      </c>
      <c r="L50" s="12" t="s">
        <v>23</v>
      </c>
      <c r="M50" s="13">
        <v>44471</v>
      </c>
      <c r="N50" s="17">
        <v>179.98</v>
      </c>
      <c r="O50" s="18">
        <f t="shared" ca="1" si="0"/>
        <v>4</v>
      </c>
      <c r="P50" s="19">
        <f t="shared" si="1"/>
        <v>45473</v>
      </c>
      <c r="X50" s="25" t="str">
        <f t="shared" si="3"/>
        <v>ELE</v>
      </c>
      <c r="Y50" s="25" t="str">
        <f t="shared" si="4"/>
        <v>PREM.</v>
      </c>
    </row>
    <row r="51" spans="1:25" ht="17.5" customHeight="1" thickBot="1">
      <c r="A51" s="12" t="s">
        <v>148</v>
      </c>
      <c r="B51" s="13">
        <v>45459</v>
      </c>
      <c r="C51" s="12" t="s">
        <v>398</v>
      </c>
      <c r="D51" s="12" t="s">
        <v>14</v>
      </c>
      <c r="E51" s="12" t="s">
        <v>638</v>
      </c>
      <c r="F51" s="12" t="s">
        <v>45</v>
      </c>
      <c r="G51" s="12" t="s">
        <v>17</v>
      </c>
      <c r="H51" s="14">
        <v>5</v>
      </c>
      <c r="I51" s="14">
        <v>899.99</v>
      </c>
      <c r="J51" s="12" t="s">
        <v>22</v>
      </c>
      <c r="K51" s="12" t="s">
        <v>29</v>
      </c>
      <c r="L51" s="12" t="s">
        <v>30</v>
      </c>
      <c r="M51" s="13">
        <v>44974</v>
      </c>
      <c r="N51" s="17">
        <v>4499.95</v>
      </c>
      <c r="O51" s="18">
        <f t="shared" ca="1" si="0"/>
        <v>3</v>
      </c>
      <c r="P51" s="19">
        <f t="shared" si="1"/>
        <v>45473</v>
      </c>
      <c r="X51" s="25" t="str">
        <f t="shared" si="3"/>
        <v>ELE</v>
      </c>
      <c r="Y51" s="25" t="str">
        <f t="shared" si="4"/>
        <v>STD.</v>
      </c>
    </row>
    <row r="52" spans="1:25" ht="17.5" customHeight="1" thickBot="1">
      <c r="A52" s="12" t="s">
        <v>149</v>
      </c>
      <c r="B52" s="13">
        <v>45459</v>
      </c>
      <c r="C52" s="12" t="s">
        <v>399</v>
      </c>
      <c r="D52" s="12" t="s">
        <v>70</v>
      </c>
      <c r="E52" s="12" t="s">
        <v>639</v>
      </c>
      <c r="F52" s="12" t="s">
        <v>45</v>
      </c>
      <c r="G52" s="12" t="s">
        <v>17</v>
      </c>
      <c r="H52" s="14">
        <v>5</v>
      </c>
      <c r="I52" s="14">
        <v>899.99</v>
      </c>
      <c r="J52" s="12" t="s">
        <v>28</v>
      </c>
      <c r="K52" s="12" t="s">
        <v>46</v>
      </c>
      <c r="L52" s="12" t="s">
        <v>23</v>
      </c>
      <c r="M52" s="13">
        <v>45278</v>
      </c>
      <c r="N52" s="17">
        <v>4499.95</v>
      </c>
      <c r="O52" s="18">
        <f t="shared" ca="1" si="0"/>
        <v>2</v>
      </c>
      <c r="P52" s="19">
        <f t="shared" si="1"/>
        <v>45473</v>
      </c>
      <c r="X52" s="25" t="str">
        <f t="shared" si="3"/>
        <v>ELE</v>
      </c>
      <c r="Y52" s="25" t="str">
        <f t="shared" si="4"/>
        <v>PREM.</v>
      </c>
    </row>
    <row r="53" spans="1:25" ht="17.5" customHeight="1" thickBot="1">
      <c r="A53" s="12" t="s">
        <v>150</v>
      </c>
      <c r="B53" s="13">
        <v>45460</v>
      </c>
      <c r="C53" s="12" t="s">
        <v>400</v>
      </c>
      <c r="D53" s="12" t="s">
        <v>81</v>
      </c>
      <c r="E53" s="12" t="s">
        <v>640</v>
      </c>
      <c r="F53" s="12" t="s">
        <v>26</v>
      </c>
      <c r="G53" s="12" t="s">
        <v>27</v>
      </c>
      <c r="H53" s="14">
        <v>1</v>
      </c>
      <c r="I53" s="14">
        <v>59.99</v>
      </c>
      <c r="J53" s="12" t="s">
        <v>42</v>
      </c>
      <c r="K53" s="12" t="s">
        <v>38</v>
      </c>
      <c r="L53" s="12" t="s">
        <v>23</v>
      </c>
      <c r="M53" s="13">
        <v>45190</v>
      </c>
      <c r="N53" s="17">
        <v>59.99</v>
      </c>
      <c r="O53" s="18">
        <f t="shared" ca="1" si="0"/>
        <v>2</v>
      </c>
      <c r="P53" s="19">
        <f t="shared" si="1"/>
        <v>45473</v>
      </c>
      <c r="X53" s="25" t="str">
        <f t="shared" si="3"/>
        <v>APP</v>
      </c>
      <c r="Y53" s="25" t="str">
        <f t="shared" si="4"/>
        <v>PREM.</v>
      </c>
    </row>
    <row r="54" spans="1:25" ht="17.5" customHeight="1" thickBot="1">
      <c r="A54" s="12" t="s">
        <v>151</v>
      </c>
      <c r="B54" s="13">
        <v>45460</v>
      </c>
      <c r="C54" s="12" t="s">
        <v>401</v>
      </c>
      <c r="D54" s="12" t="s">
        <v>76</v>
      </c>
      <c r="E54" s="12" t="s">
        <v>641</v>
      </c>
      <c r="F54" s="12" t="s">
        <v>62</v>
      </c>
      <c r="G54" s="12" t="s">
        <v>36</v>
      </c>
      <c r="H54" s="14">
        <v>2</v>
      </c>
      <c r="I54" s="14">
        <v>299.99</v>
      </c>
      <c r="J54" s="12" t="s">
        <v>42</v>
      </c>
      <c r="K54" s="12" t="s">
        <v>46</v>
      </c>
      <c r="L54" s="12" t="s">
        <v>30</v>
      </c>
      <c r="M54" s="13">
        <v>45253</v>
      </c>
      <c r="N54" s="17">
        <v>599.98</v>
      </c>
      <c r="O54" s="18">
        <f t="shared" ca="1" si="0"/>
        <v>2</v>
      </c>
      <c r="P54" s="19">
        <f t="shared" si="1"/>
        <v>45473</v>
      </c>
      <c r="X54" s="25" t="str">
        <f t="shared" si="3"/>
        <v>FUR</v>
      </c>
      <c r="Y54" s="25" t="str">
        <f t="shared" si="4"/>
        <v>STD.</v>
      </c>
    </row>
    <row r="55" spans="1:25" ht="17.5" customHeight="1" thickBot="1">
      <c r="A55" s="12" t="s">
        <v>152</v>
      </c>
      <c r="B55" s="13">
        <v>45468</v>
      </c>
      <c r="C55" s="12" t="s">
        <v>402</v>
      </c>
      <c r="D55" s="12" t="s">
        <v>83</v>
      </c>
      <c r="E55" s="12" t="s">
        <v>642</v>
      </c>
      <c r="F55" s="12" t="s">
        <v>68</v>
      </c>
      <c r="G55" s="12" t="s">
        <v>17</v>
      </c>
      <c r="H55" s="14">
        <v>4</v>
      </c>
      <c r="I55" s="14">
        <v>89.99</v>
      </c>
      <c r="J55" s="12" t="s">
        <v>42</v>
      </c>
      <c r="K55" s="12" t="s">
        <v>29</v>
      </c>
      <c r="L55" s="12" t="s">
        <v>20</v>
      </c>
      <c r="M55" s="13">
        <v>45281</v>
      </c>
      <c r="N55" s="17">
        <v>359.96</v>
      </c>
      <c r="O55" s="18">
        <f t="shared" ca="1" si="0"/>
        <v>2</v>
      </c>
      <c r="P55" s="19">
        <f t="shared" si="1"/>
        <v>45473</v>
      </c>
      <c r="X55" s="25" t="str">
        <f t="shared" si="3"/>
        <v>ELE</v>
      </c>
      <c r="Y55" s="25" t="str">
        <f t="shared" si="4"/>
        <v>BAS.</v>
      </c>
    </row>
    <row r="56" spans="1:25" ht="17.5" customHeight="1" thickBot="1">
      <c r="A56" s="12" t="s">
        <v>153</v>
      </c>
      <c r="B56" s="13">
        <v>45469</v>
      </c>
      <c r="C56" s="12" t="s">
        <v>403</v>
      </c>
      <c r="D56" s="12" t="s">
        <v>24</v>
      </c>
      <c r="E56" s="12" t="s">
        <v>643</v>
      </c>
      <c r="F56" s="12" t="s">
        <v>66</v>
      </c>
      <c r="G56" s="12" t="s">
        <v>27</v>
      </c>
      <c r="H56" s="14">
        <v>1</v>
      </c>
      <c r="I56" s="14">
        <v>79.989999999999995</v>
      </c>
      <c r="J56" s="12" t="s">
        <v>28</v>
      </c>
      <c r="K56" s="12" t="s">
        <v>19</v>
      </c>
      <c r="L56" s="12" t="s">
        <v>23</v>
      </c>
      <c r="M56" s="13">
        <v>45352</v>
      </c>
      <c r="N56" s="17">
        <v>79.989999999999995</v>
      </c>
      <c r="O56" s="18">
        <f t="shared" ca="1" si="0"/>
        <v>1</v>
      </c>
      <c r="P56" s="19">
        <f t="shared" si="1"/>
        <v>45473</v>
      </c>
      <c r="X56" s="25" t="str">
        <f t="shared" si="3"/>
        <v>APP</v>
      </c>
      <c r="Y56" s="25" t="str">
        <f t="shared" si="4"/>
        <v>PREM.</v>
      </c>
    </row>
    <row r="57" spans="1:25" ht="17.5" customHeight="1" thickBot="1">
      <c r="A57" s="12" t="s">
        <v>154</v>
      </c>
      <c r="B57" s="13">
        <v>45469</v>
      </c>
      <c r="C57" s="12" t="s">
        <v>404</v>
      </c>
      <c r="D57" s="12" t="s">
        <v>43</v>
      </c>
      <c r="E57" s="12" t="s">
        <v>644</v>
      </c>
      <c r="F57" s="12" t="s">
        <v>68</v>
      </c>
      <c r="G57" s="12" t="s">
        <v>17</v>
      </c>
      <c r="H57" s="14">
        <v>2</v>
      </c>
      <c r="I57" s="14">
        <v>89.99</v>
      </c>
      <c r="J57" s="12" t="s">
        <v>18</v>
      </c>
      <c r="K57" s="12" t="s">
        <v>38</v>
      </c>
      <c r="L57" s="12" t="s">
        <v>20</v>
      </c>
      <c r="M57" s="13">
        <v>44438</v>
      </c>
      <c r="N57" s="17">
        <v>179.98</v>
      </c>
      <c r="O57" s="18">
        <f t="shared" ca="1" si="0"/>
        <v>4</v>
      </c>
      <c r="P57" s="19">
        <f t="shared" si="1"/>
        <v>45473</v>
      </c>
      <c r="X57" s="25" t="str">
        <f t="shared" si="3"/>
        <v>ELE</v>
      </c>
      <c r="Y57" s="25" t="str">
        <f t="shared" si="4"/>
        <v>BAS.</v>
      </c>
    </row>
    <row r="58" spans="1:25" ht="17.5" customHeight="1" thickBot="1">
      <c r="A58" s="12" t="s">
        <v>155</v>
      </c>
      <c r="B58" s="13">
        <v>45471</v>
      </c>
      <c r="C58" s="12" t="s">
        <v>405</v>
      </c>
      <c r="D58" s="12" t="s">
        <v>31</v>
      </c>
      <c r="E58" s="12" t="s">
        <v>645</v>
      </c>
      <c r="F58" s="12" t="s">
        <v>53</v>
      </c>
      <c r="G58" s="12" t="s">
        <v>17</v>
      </c>
      <c r="H58" s="14">
        <v>3</v>
      </c>
      <c r="I58" s="14">
        <v>699.99</v>
      </c>
      <c r="J58" s="12" t="s">
        <v>22</v>
      </c>
      <c r="K58" s="12" t="s">
        <v>46</v>
      </c>
      <c r="L58" s="12" t="s">
        <v>23</v>
      </c>
      <c r="M58" s="13">
        <v>45102</v>
      </c>
      <c r="N58" s="17">
        <v>2099.9699999999998</v>
      </c>
      <c r="O58" s="18">
        <f t="shared" ca="1" si="0"/>
        <v>2</v>
      </c>
      <c r="P58" s="19">
        <f t="shared" si="1"/>
        <v>45473</v>
      </c>
      <c r="X58" s="25" t="str">
        <f t="shared" si="3"/>
        <v>ELE</v>
      </c>
      <c r="Y58" s="25" t="str">
        <f t="shared" si="4"/>
        <v>PREM.</v>
      </c>
    </row>
    <row r="59" spans="1:25" ht="17.5" customHeight="1" thickBot="1">
      <c r="A59" s="12" t="s">
        <v>156</v>
      </c>
      <c r="B59" s="13">
        <v>45471</v>
      </c>
      <c r="C59" s="12" t="s">
        <v>406</v>
      </c>
      <c r="D59" s="12" t="s">
        <v>59</v>
      </c>
      <c r="E59" s="12" t="s">
        <v>646</v>
      </c>
      <c r="F59" s="12" t="s">
        <v>45</v>
      </c>
      <c r="G59" s="12" t="s">
        <v>17</v>
      </c>
      <c r="H59" s="14">
        <v>4</v>
      </c>
      <c r="I59" s="14">
        <v>899.99</v>
      </c>
      <c r="J59" s="12" t="s">
        <v>22</v>
      </c>
      <c r="K59" s="12" t="s">
        <v>46</v>
      </c>
      <c r="L59" s="12" t="s">
        <v>23</v>
      </c>
      <c r="M59" s="13">
        <v>44993</v>
      </c>
      <c r="N59" s="17">
        <v>3599.96</v>
      </c>
      <c r="O59" s="18">
        <f t="shared" ca="1" si="0"/>
        <v>2</v>
      </c>
      <c r="P59" s="19">
        <f t="shared" si="1"/>
        <v>45473</v>
      </c>
      <c r="X59" s="25" t="str">
        <f t="shared" si="3"/>
        <v>ELE</v>
      </c>
      <c r="Y59" s="25" t="str">
        <f t="shared" si="4"/>
        <v>PREM.</v>
      </c>
    </row>
    <row r="60" spans="1:25" ht="17.5" customHeight="1" thickBot="1">
      <c r="A60" s="12" t="s">
        <v>157</v>
      </c>
      <c r="B60" s="13">
        <v>45472</v>
      </c>
      <c r="C60" s="12" t="s">
        <v>407</v>
      </c>
      <c r="D60" s="12" t="s">
        <v>69</v>
      </c>
      <c r="E60" s="12" t="s">
        <v>647</v>
      </c>
      <c r="F60" s="12" t="s">
        <v>35</v>
      </c>
      <c r="G60" s="12" t="s">
        <v>36</v>
      </c>
      <c r="H60" s="14">
        <v>1</v>
      </c>
      <c r="I60" s="14">
        <v>149.99</v>
      </c>
      <c r="J60" s="12" t="s">
        <v>28</v>
      </c>
      <c r="K60" s="12" t="s">
        <v>46</v>
      </c>
      <c r="L60" s="12" t="s">
        <v>20</v>
      </c>
      <c r="M60" s="13">
        <v>44851</v>
      </c>
      <c r="N60" s="17">
        <v>149.99</v>
      </c>
      <c r="O60" s="18">
        <f t="shared" ca="1" si="0"/>
        <v>3</v>
      </c>
      <c r="P60" s="19">
        <f t="shared" si="1"/>
        <v>45473</v>
      </c>
      <c r="X60" s="25" t="str">
        <f t="shared" si="3"/>
        <v>FUR</v>
      </c>
      <c r="Y60" s="25" t="str">
        <f t="shared" si="4"/>
        <v>BAS.</v>
      </c>
    </row>
    <row r="61" spans="1:25" ht="17.5" customHeight="1" thickBot="1">
      <c r="A61" s="12" t="s">
        <v>158</v>
      </c>
      <c r="B61" s="13">
        <v>45474</v>
      </c>
      <c r="C61" s="12" t="s">
        <v>408</v>
      </c>
      <c r="D61" s="12" t="s">
        <v>74</v>
      </c>
      <c r="E61" s="12" t="s">
        <v>648</v>
      </c>
      <c r="F61" s="12" t="s">
        <v>68</v>
      </c>
      <c r="G61" s="12" t="s">
        <v>17</v>
      </c>
      <c r="H61" s="14">
        <v>2</v>
      </c>
      <c r="I61" s="14">
        <v>89.99</v>
      </c>
      <c r="J61" s="12" t="s">
        <v>28</v>
      </c>
      <c r="K61" s="12" t="s">
        <v>19</v>
      </c>
      <c r="L61" s="12" t="s">
        <v>23</v>
      </c>
      <c r="M61" s="13">
        <v>45275</v>
      </c>
      <c r="N61" s="17">
        <v>179.98</v>
      </c>
      <c r="O61" s="18">
        <f t="shared" ca="1" si="0"/>
        <v>2</v>
      </c>
      <c r="P61" s="19">
        <f t="shared" si="1"/>
        <v>45504</v>
      </c>
      <c r="X61" s="25" t="str">
        <f t="shared" si="3"/>
        <v>ELE</v>
      </c>
      <c r="Y61" s="25" t="str">
        <f t="shared" si="4"/>
        <v>PREM.</v>
      </c>
    </row>
    <row r="62" spans="1:25" ht="17.5" customHeight="1" thickBot="1">
      <c r="A62" s="12" t="s">
        <v>159</v>
      </c>
      <c r="B62" s="13">
        <v>45475</v>
      </c>
      <c r="C62" s="12" t="s">
        <v>409</v>
      </c>
      <c r="D62" s="12" t="s">
        <v>41</v>
      </c>
      <c r="E62" s="12" t="s">
        <v>649</v>
      </c>
      <c r="F62" s="12" t="s">
        <v>68</v>
      </c>
      <c r="G62" s="12" t="s">
        <v>17</v>
      </c>
      <c r="H62" s="14">
        <v>1</v>
      </c>
      <c r="I62" s="14">
        <v>89.99</v>
      </c>
      <c r="J62" s="12" t="s">
        <v>28</v>
      </c>
      <c r="K62" s="12" t="s">
        <v>38</v>
      </c>
      <c r="L62" s="12" t="s">
        <v>30</v>
      </c>
      <c r="M62" s="13">
        <v>44802</v>
      </c>
      <c r="N62" s="17">
        <v>89.99</v>
      </c>
      <c r="O62" s="18">
        <f t="shared" ca="1" si="0"/>
        <v>3</v>
      </c>
      <c r="P62" s="19">
        <f t="shared" si="1"/>
        <v>45504</v>
      </c>
      <c r="X62" s="25" t="str">
        <f t="shared" si="3"/>
        <v>ELE</v>
      </c>
      <c r="Y62" s="25" t="str">
        <f t="shared" si="4"/>
        <v>STD.</v>
      </c>
    </row>
    <row r="63" spans="1:25" ht="17.5" customHeight="1" thickBot="1">
      <c r="A63" s="12" t="s">
        <v>160</v>
      </c>
      <c r="B63" s="13">
        <v>45476</v>
      </c>
      <c r="C63" s="12" t="s">
        <v>410</v>
      </c>
      <c r="D63" s="12" t="s">
        <v>48</v>
      </c>
      <c r="E63" s="12" t="s">
        <v>650</v>
      </c>
      <c r="F63" s="12" t="s">
        <v>68</v>
      </c>
      <c r="G63" s="12" t="s">
        <v>17</v>
      </c>
      <c r="H63" s="14">
        <v>1</v>
      </c>
      <c r="I63" s="14">
        <v>89.99</v>
      </c>
      <c r="J63" s="12" t="s">
        <v>18</v>
      </c>
      <c r="K63" s="12" t="s">
        <v>29</v>
      </c>
      <c r="L63" s="12" t="s">
        <v>30</v>
      </c>
      <c r="M63" s="13">
        <v>44611</v>
      </c>
      <c r="N63" s="17">
        <v>89.99</v>
      </c>
      <c r="O63" s="18">
        <f t="shared" ca="1" si="0"/>
        <v>4</v>
      </c>
      <c r="P63" s="19">
        <f t="shared" si="1"/>
        <v>45504</v>
      </c>
      <c r="X63" s="25" t="str">
        <f t="shared" si="3"/>
        <v>ELE</v>
      </c>
      <c r="Y63" s="25" t="str">
        <f t="shared" si="4"/>
        <v>STD.</v>
      </c>
    </row>
    <row r="64" spans="1:25" ht="17.5" customHeight="1" thickBot="1">
      <c r="A64" s="12" t="s">
        <v>161</v>
      </c>
      <c r="B64" s="13">
        <v>45476</v>
      </c>
      <c r="C64" s="12" t="s">
        <v>411</v>
      </c>
      <c r="D64" s="12" t="s">
        <v>84</v>
      </c>
      <c r="E64" s="12" t="s">
        <v>651</v>
      </c>
      <c r="F64" s="12" t="s">
        <v>66</v>
      </c>
      <c r="G64" s="12" t="s">
        <v>27</v>
      </c>
      <c r="H64" s="14">
        <v>5</v>
      </c>
      <c r="I64" s="14">
        <v>79.989999999999995</v>
      </c>
      <c r="J64" s="12" t="s">
        <v>42</v>
      </c>
      <c r="K64" s="12" t="s">
        <v>19</v>
      </c>
      <c r="L64" s="12" t="s">
        <v>20</v>
      </c>
      <c r="M64" s="13">
        <v>44981</v>
      </c>
      <c r="N64" s="17">
        <v>399.95</v>
      </c>
      <c r="O64" s="18">
        <f t="shared" ca="1" si="0"/>
        <v>3</v>
      </c>
      <c r="P64" s="19">
        <f t="shared" si="1"/>
        <v>45504</v>
      </c>
      <c r="X64" s="25" t="str">
        <f t="shared" si="3"/>
        <v>APP</v>
      </c>
      <c r="Y64" s="25" t="str">
        <f t="shared" si="4"/>
        <v>BAS.</v>
      </c>
    </row>
    <row r="65" spans="1:25" ht="17.5" customHeight="1" thickBot="1">
      <c r="A65" s="12" t="s">
        <v>162</v>
      </c>
      <c r="B65" s="13">
        <v>45481</v>
      </c>
      <c r="C65" s="12" t="s">
        <v>412</v>
      </c>
      <c r="D65" s="12" t="s">
        <v>85</v>
      </c>
      <c r="E65" s="12" t="s">
        <v>652</v>
      </c>
      <c r="F65" s="12" t="s">
        <v>35</v>
      </c>
      <c r="G65" s="12" t="s">
        <v>36</v>
      </c>
      <c r="H65" s="14">
        <v>1</v>
      </c>
      <c r="I65" s="14">
        <v>149.99</v>
      </c>
      <c r="J65" s="12" t="s">
        <v>28</v>
      </c>
      <c r="K65" s="12" t="s">
        <v>32</v>
      </c>
      <c r="L65" s="12" t="s">
        <v>20</v>
      </c>
      <c r="M65" s="13">
        <v>44421</v>
      </c>
      <c r="N65" s="17">
        <v>149.99</v>
      </c>
      <c r="O65" s="18">
        <f t="shared" ca="1" si="0"/>
        <v>4</v>
      </c>
      <c r="P65" s="19">
        <f t="shared" si="1"/>
        <v>45504</v>
      </c>
      <c r="X65" s="25" t="str">
        <f t="shared" si="3"/>
        <v>FUR</v>
      </c>
      <c r="Y65" s="25" t="str">
        <f t="shared" si="4"/>
        <v>BAS.</v>
      </c>
    </row>
    <row r="66" spans="1:25" ht="17.5" customHeight="1" thickBot="1">
      <c r="A66" s="12" t="s">
        <v>163</v>
      </c>
      <c r="B66" s="13">
        <v>45481</v>
      </c>
      <c r="C66" s="12" t="s">
        <v>413</v>
      </c>
      <c r="D66" s="12" t="s">
        <v>33</v>
      </c>
      <c r="E66" s="12" t="s">
        <v>653</v>
      </c>
      <c r="F66" s="12" t="s">
        <v>53</v>
      </c>
      <c r="G66" s="12" t="s">
        <v>17</v>
      </c>
      <c r="H66" s="14">
        <v>2</v>
      </c>
      <c r="I66" s="14">
        <v>699.99</v>
      </c>
      <c r="J66" s="12" t="s">
        <v>28</v>
      </c>
      <c r="K66" s="12" t="s">
        <v>46</v>
      </c>
      <c r="L66" s="12" t="s">
        <v>23</v>
      </c>
      <c r="M66" s="13">
        <v>45389</v>
      </c>
      <c r="N66" s="17">
        <v>1399.98</v>
      </c>
      <c r="O66" s="18">
        <f t="shared" ca="1" si="0"/>
        <v>1</v>
      </c>
      <c r="P66" s="19">
        <f t="shared" si="1"/>
        <v>45504</v>
      </c>
      <c r="X66" s="25" t="str">
        <f t="shared" si="3"/>
        <v>ELE</v>
      </c>
      <c r="Y66" s="25" t="str">
        <f t="shared" si="4"/>
        <v>PREM.</v>
      </c>
    </row>
    <row r="67" spans="1:25" ht="17.5" customHeight="1" thickBot="1">
      <c r="A67" s="12" t="s">
        <v>164</v>
      </c>
      <c r="B67" s="13">
        <v>45481</v>
      </c>
      <c r="C67" s="12" t="s">
        <v>414</v>
      </c>
      <c r="D67" s="12" t="s">
        <v>58</v>
      </c>
      <c r="E67" s="12" t="s">
        <v>654</v>
      </c>
      <c r="F67" s="12" t="s">
        <v>68</v>
      </c>
      <c r="G67" s="12" t="s">
        <v>17</v>
      </c>
      <c r="H67" s="14">
        <v>5</v>
      </c>
      <c r="I67" s="14">
        <v>89.99</v>
      </c>
      <c r="J67" s="12" t="s">
        <v>42</v>
      </c>
      <c r="K67" s="12" t="s">
        <v>32</v>
      </c>
      <c r="L67" s="12" t="s">
        <v>23</v>
      </c>
      <c r="M67" s="13">
        <v>45161</v>
      </c>
      <c r="N67" s="17">
        <v>449.95</v>
      </c>
      <c r="O67" s="18">
        <f t="shared" ref="O67:O130" ca="1" si="5">DATEDIF(M67, TODAY(), "Y")</f>
        <v>2</v>
      </c>
      <c r="P67" s="19">
        <f t="shared" ref="P67:P130" si="6">EOMONTH(B67, 0)</f>
        <v>45504</v>
      </c>
      <c r="X67" s="25" t="str">
        <f t="shared" ref="X67:X130" si="7">UPPER(LEFT(G67, 3))</f>
        <v>ELE</v>
      </c>
      <c r="Y67" s="25" t="str">
        <f t="shared" ref="Y67:Y130" si="8">IF(L67="Premium", "PREM.", IF(L67="Standard", "STD.", "BAS."))</f>
        <v>PREM.</v>
      </c>
    </row>
    <row r="68" spans="1:25" ht="17.5" customHeight="1" thickBot="1">
      <c r="A68" s="12" t="s">
        <v>165</v>
      </c>
      <c r="B68" s="13">
        <v>45482</v>
      </c>
      <c r="C68" s="12" t="s">
        <v>415</v>
      </c>
      <c r="D68" s="12" t="s">
        <v>83</v>
      </c>
      <c r="E68" s="12" t="s">
        <v>655</v>
      </c>
      <c r="F68" s="12" t="s">
        <v>26</v>
      </c>
      <c r="G68" s="12" t="s">
        <v>27</v>
      </c>
      <c r="H68" s="14">
        <v>4</v>
      </c>
      <c r="I68" s="14">
        <v>59.99</v>
      </c>
      <c r="J68" s="12" t="s">
        <v>18</v>
      </c>
      <c r="K68" s="12" t="s">
        <v>29</v>
      </c>
      <c r="L68" s="12" t="s">
        <v>30</v>
      </c>
      <c r="M68" s="13">
        <v>44509</v>
      </c>
      <c r="N68" s="17">
        <v>239.96</v>
      </c>
      <c r="O68" s="18">
        <f t="shared" ca="1" si="5"/>
        <v>4</v>
      </c>
      <c r="P68" s="19">
        <f t="shared" si="6"/>
        <v>45504</v>
      </c>
      <c r="X68" s="25" t="str">
        <f t="shared" si="7"/>
        <v>APP</v>
      </c>
      <c r="Y68" s="25" t="str">
        <f t="shared" si="8"/>
        <v>STD.</v>
      </c>
    </row>
    <row r="69" spans="1:25" ht="17.5" customHeight="1" thickBot="1">
      <c r="A69" s="12" t="s">
        <v>166</v>
      </c>
      <c r="B69" s="13">
        <v>45484</v>
      </c>
      <c r="C69" s="12" t="s">
        <v>416</v>
      </c>
      <c r="D69" s="12" t="s">
        <v>21</v>
      </c>
      <c r="E69" s="12" t="s">
        <v>656</v>
      </c>
      <c r="F69" s="12" t="s">
        <v>40</v>
      </c>
      <c r="G69" s="12" t="s">
        <v>17</v>
      </c>
      <c r="H69" s="14">
        <v>1</v>
      </c>
      <c r="I69" s="14">
        <v>149.99</v>
      </c>
      <c r="J69" s="12" t="s">
        <v>18</v>
      </c>
      <c r="K69" s="12" t="s">
        <v>19</v>
      </c>
      <c r="L69" s="12" t="s">
        <v>30</v>
      </c>
      <c r="M69" s="13">
        <v>44909</v>
      </c>
      <c r="N69" s="17">
        <v>149.99</v>
      </c>
      <c r="O69" s="18">
        <f t="shared" ca="1" si="5"/>
        <v>3</v>
      </c>
      <c r="P69" s="19">
        <f t="shared" si="6"/>
        <v>45504</v>
      </c>
      <c r="X69" s="25" t="str">
        <f t="shared" si="7"/>
        <v>ELE</v>
      </c>
      <c r="Y69" s="25" t="str">
        <f t="shared" si="8"/>
        <v>STD.</v>
      </c>
    </row>
    <row r="70" spans="1:25" ht="17.5" customHeight="1" thickBot="1">
      <c r="A70" s="12" t="s">
        <v>167</v>
      </c>
      <c r="B70" s="13">
        <v>45484</v>
      </c>
      <c r="C70" s="12" t="s">
        <v>417</v>
      </c>
      <c r="D70" s="12" t="s">
        <v>86</v>
      </c>
      <c r="E70" s="12" t="s">
        <v>657</v>
      </c>
      <c r="F70" s="12" t="s">
        <v>62</v>
      </c>
      <c r="G70" s="12" t="s">
        <v>36</v>
      </c>
      <c r="H70" s="14">
        <v>1</v>
      </c>
      <c r="I70" s="14">
        <v>299.99</v>
      </c>
      <c r="J70" s="12" t="s">
        <v>22</v>
      </c>
      <c r="K70" s="12" t="s">
        <v>32</v>
      </c>
      <c r="L70" s="12" t="s">
        <v>23</v>
      </c>
      <c r="M70" s="13">
        <v>44891</v>
      </c>
      <c r="N70" s="17">
        <v>299.99</v>
      </c>
      <c r="O70" s="18">
        <f t="shared" ca="1" si="5"/>
        <v>3</v>
      </c>
      <c r="P70" s="19">
        <f t="shared" si="6"/>
        <v>45504</v>
      </c>
      <c r="X70" s="25" t="str">
        <f t="shared" si="7"/>
        <v>FUR</v>
      </c>
      <c r="Y70" s="25" t="str">
        <f t="shared" si="8"/>
        <v>PREM.</v>
      </c>
    </row>
    <row r="71" spans="1:25" ht="17.5" customHeight="1" thickBot="1">
      <c r="A71" s="12" t="s">
        <v>168</v>
      </c>
      <c r="B71" s="13">
        <v>45487</v>
      </c>
      <c r="C71" s="12" t="s">
        <v>418</v>
      </c>
      <c r="D71" s="12" t="s">
        <v>86</v>
      </c>
      <c r="E71" s="12" t="s">
        <v>658</v>
      </c>
      <c r="F71" s="12" t="s">
        <v>72</v>
      </c>
      <c r="G71" s="12" t="s">
        <v>36</v>
      </c>
      <c r="H71" s="14">
        <v>2</v>
      </c>
      <c r="I71" s="14">
        <v>199.99</v>
      </c>
      <c r="J71" s="12" t="s">
        <v>18</v>
      </c>
      <c r="K71" s="12" t="s">
        <v>32</v>
      </c>
      <c r="L71" s="12" t="s">
        <v>20</v>
      </c>
      <c r="M71" s="13">
        <v>44541</v>
      </c>
      <c r="N71" s="17">
        <v>399.98</v>
      </c>
      <c r="O71" s="18">
        <f t="shared" ca="1" si="5"/>
        <v>4</v>
      </c>
      <c r="P71" s="19">
        <f t="shared" si="6"/>
        <v>45504</v>
      </c>
      <c r="X71" s="25" t="str">
        <f t="shared" si="7"/>
        <v>FUR</v>
      </c>
      <c r="Y71" s="25" t="str">
        <f t="shared" si="8"/>
        <v>BAS.</v>
      </c>
    </row>
    <row r="72" spans="1:25" ht="17.5" customHeight="1" thickBot="1">
      <c r="A72" s="12" t="s">
        <v>169</v>
      </c>
      <c r="B72" s="13">
        <v>45490</v>
      </c>
      <c r="C72" s="12" t="s">
        <v>419</v>
      </c>
      <c r="D72" s="12" t="s">
        <v>87</v>
      </c>
      <c r="E72" s="12" t="s">
        <v>659</v>
      </c>
      <c r="F72" s="12" t="s">
        <v>26</v>
      </c>
      <c r="G72" s="12" t="s">
        <v>27</v>
      </c>
      <c r="H72" s="14">
        <v>3</v>
      </c>
      <c r="I72" s="14">
        <v>59.99</v>
      </c>
      <c r="J72" s="12" t="s">
        <v>22</v>
      </c>
      <c r="K72" s="12" t="s">
        <v>38</v>
      </c>
      <c r="L72" s="12" t="s">
        <v>20</v>
      </c>
      <c r="M72" s="13">
        <v>45130</v>
      </c>
      <c r="N72" s="17">
        <v>179.97</v>
      </c>
      <c r="O72" s="18">
        <f t="shared" ca="1" si="5"/>
        <v>2</v>
      </c>
      <c r="P72" s="19">
        <f t="shared" si="6"/>
        <v>45504</v>
      </c>
      <c r="X72" s="25" t="str">
        <f t="shared" si="7"/>
        <v>APP</v>
      </c>
      <c r="Y72" s="25" t="str">
        <f t="shared" si="8"/>
        <v>BAS.</v>
      </c>
    </row>
    <row r="73" spans="1:25" ht="17.5" customHeight="1" thickBot="1">
      <c r="A73" s="12" t="s">
        <v>170</v>
      </c>
      <c r="B73" s="13">
        <v>45490</v>
      </c>
      <c r="C73" s="12" t="s">
        <v>420</v>
      </c>
      <c r="D73" s="12" t="s">
        <v>49</v>
      </c>
      <c r="E73" s="12" t="s">
        <v>660</v>
      </c>
      <c r="F73" s="12" t="s">
        <v>35</v>
      </c>
      <c r="G73" s="12" t="s">
        <v>36</v>
      </c>
      <c r="H73" s="14">
        <v>3</v>
      </c>
      <c r="I73" s="14">
        <v>149.99</v>
      </c>
      <c r="J73" s="12" t="s">
        <v>18</v>
      </c>
      <c r="K73" s="12" t="s">
        <v>19</v>
      </c>
      <c r="L73" s="12" t="s">
        <v>23</v>
      </c>
      <c r="M73" s="13">
        <v>45199</v>
      </c>
      <c r="N73" s="17">
        <v>449.97</v>
      </c>
      <c r="O73" s="18">
        <f t="shared" ca="1" si="5"/>
        <v>2</v>
      </c>
      <c r="P73" s="19">
        <f t="shared" si="6"/>
        <v>45504</v>
      </c>
      <c r="X73" s="25" t="str">
        <f t="shared" si="7"/>
        <v>FUR</v>
      </c>
      <c r="Y73" s="25" t="str">
        <f t="shared" si="8"/>
        <v>PREM.</v>
      </c>
    </row>
    <row r="74" spans="1:25" ht="17.5" customHeight="1" thickBot="1">
      <c r="A74" s="12" t="s">
        <v>171</v>
      </c>
      <c r="B74" s="13">
        <v>45491</v>
      </c>
      <c r="C74" s="12" t="s">
        <v>421</v>
      </c>
      <c r="D74" s="12" t="s">
        <v>47</v>
      </c>
      <c r="E74" s="12" t="s">
        <v>661</v>
      </c>
      <c r="F74" s="12" t="s">
        <v>72</v>
      </c>
      <c r="G74" s="12" t="s">
        <v>36</v>
      </c>
      <c r="H74" s="14">
        <v>3</v>
      </c>
      <c r="I74" s="14">
        <v>199.99</v>
      </c>
      <c r="J74" s="12" t="s">
        <v>18</v>
      </c>
      <c r="K74" s="12" t="s">
        <v>32</v>
      </c>
      <c r="L74" s="12" t="s">
        <v>23</v>
      </c>
      <c r="M74" s="13">
        <v>45254</v>
      </c>
      <c r="N74" s="17">
        <v>599.97</v>
      </c>
      <c r="O74" s="18">
        <f t="shared" ca="1" si="5"/>
        <v>2</v>
      </c>
      <c r="P74" s="19">
        <f t="shared" si="6"/>
        <v>45504</v>
      </c>
      <c r="X74" s="25" t="str">
        <f t="shared" si="7"/>
        <v>FUR</v>
      </c>
      <c r="Y74" s="25" t="str">
        <f t="shared" si="8"/>
        <v>PREM.</v>
      </c>
    </row>
    <row r="75" spans="1:25" ht="17.5" customHeight="1" thickBot="1">
      <c r="A75" s="12" t="s">
        <v>172</v>
      </c>
      <c r="B75" s="13">
        <v>45496</v>
      </c>
      <c r="C75" s="12" t="s">
        <v>422</v>
      </c>
      <c r="D75" s="12" t="s">
        <v>79</v>
      </c>
      <c r="E75" s="12" t="s">
        <v>662</v>
      </c>
      <c r="F75" s="12" t="s">
        <v>45</v>
      </c>
      <c r="G75" s="12" t="s">
        <v>17</v>
      </c>
      <c r="H75" s="14">
        <v>1</v>
      </c>
      <c r="I75" s="14">
        <v>899.99</v>
      </c>
      <c r="J75" s="12" t="s">
        <v>18</v>
      </c>
      <c r="K75" s="12" t="s">
        <v>19</v>
      </c>
      <c r="L75" s="12" t="s">
        <v>30</v>
      </c>
      <c r="M75" s="13">
        <v>45179</v>
      </c>
      <c r="N75" s="17">
        <v>899.99</v>
      </c>
      <c r="O75" s="18">
        <f t="shared" ca="1" si="5"/>
        <v>2</v>
      </c>
      <c r="P75" s="19">
        <f t="shared" si="6"/>
        <v>45504</v>
      </c>
      <c r="X75" s="25" t="str">
        <f t="shared" si="7"/>
        <v>ELE</v>
      </c>
      <c r="Y75" s="25" t="str">
        <f t="shared" si="8"/>
        <v>STD.</v>
      </c>
    </row>
    <row r="76" spans="1:25" ht="17.5" customHeight="1" thickBot="1">
      <c r="A76" s="12" t="s">
        <v>173</v>
      </c>
      <c r="B76" s="13">
        <v>45497</v>
      </c>
      <c r="C76" s="12" t="s">
        <v>423</v>
      </c>
      <c r="D76" s="12" t="s">
        <v>21</v>
      </c>
      <c r="E76" s="12" t="s">
        <v>663</v>
      </c>
      <c r="F76" s="12" t="s">
        <v>45</v>
      </c>
      <c r="G76" s="12" t="s">
        <v>17</v>
      </c>
      <c r="H76" s="14">
        <v>5</v>
      </c>
      <c r="I76" s="14">
        <v>899.99</v>
      </c>
      <c r="J76" s="12" t="s">
        <v>42</v>
      </c>
      <c r="K76" s="12" t="s">
        <v>29</v>
      </c>
      <c r="L76" s="12" t="s">
        <v>30</v>
      </c>
      <c r="M76" s="13">
        <v>44899</v>
      </c>
      <c r="N76" s="17">
        <v>4499.95</v>
      </c>
      <c r="O76" s="18">
        <f t="shared" ca="1" si="5"/>
        <v>3</v>
      </c>
      <c r="P76" s="19">
        <f t="shared" si="6"/>
        <v>45504</v>
      </c>
      <c r="X76" s="25" t="str">
        <f t="shared" si="7"/>
        <v>ELE</v>
      </c>
      <c r="Y76" s="25" t="str">
        <f t="shared" si="8"/>
        <v>STD.</v>
      </c>
    </row>
    <row r="77" spans="1:25" ht="17.5" customHeight="1" thickBot="1">
      <c r="A77" s="12" t="s">
        <v>174</v>
      </c>
      <c r="B77" s="13">
        <v>45498</v>
      </c>
      <c r="C77" s="12" t="s">
        <v>424</v>
      </c>
      <c r="D77" s="12" t="s">
        <v>84</v>
      </c>
      <c r="E77" s="12" t="s">
        <v>664</v>
      </c>
      <c r="F77" s="12" t="s">
        <v>26</v>
      </c>
      <c r="G77" s="12" t="s">
        <v>27</v>
      </c>
      <c r="H77" s="14">
        <v>2</v>
      </c>
      <c r="I77" s="14">
        <v>59.99</v>
      </c>
      <c r="J77" s="12" t="s">
        <v>18</v>
      </c>
      <c r="K77" s="12" t="s">
        <v>32</v>
      </c>
      <c r="L77" s="12" t="s">
        <v>30</v>
      </c>
      <c r="M77" s="13">
        <v>45152</v>
      </c>
      <c r="N77" s="17">
        <v>119.98</v>
      </c>
      <c r="O77" s="18">
        <f t="shared" ca="1" si="5"/>
        <v>2</v>
      </c>
      <c r="P77" s="19">
        <f t="shared" si="6"/>
        <v>45504</v>
      </c>
      <c r="X77" s="25" t="str">
        <f t="shared" si="7"/>
        <v>APP</v>
      </c>
      <c r="Y77" s="25" t="str">
        <f t="shared" si="8"/>
        <v>STD.</v>
      </c>
    </row>
    <row r="78" spans="1:25" ht="17.5" customHeight="1" thickBot="1">
      <c r="A78" s="12" t="s">
        <v>175</v>
      </c>
      <c r="B78" s="13">
        <v>45498</v>
      </c>
      <c r="C78" s="12" t="s">
        <v>425</v>
      </c>
      <c r="D78" s="12" t="s">
        <v>87</v>
      </c>
      <c r="E78" s="12" t="s">
        <v>665</v>
      </c>
      <c r="F78" s="12" t="s">
        <v>16</v>
      </c>
      <c r="G78" s="12" t="s">
        <v>17</v>
      </c>
      <c r="H78" s="14">
        <v>4</v>
      </c>
      <c r="I78" s="14">
        <v>249.99</v>
      </c>
      <c r="J78" s="12" t="s">
        <v>42</v>
      </c>
      <c r="K78" s="12" t="s">
        <v>19</v>
      </c>
      <c r="L78" s="12" t="s">
        <v>30</v>
      </c>
      <c r="M78" s="13">
        <v>45127</v>
      </c>
      <c r="N78" s="17">
        <v>999.96</v>
      </c>
      <c r="O78" s="18">
        <f t="shared" ca="1" si="5"/>
        <v>2</v>
      </c>
      <c r="P78" s="19">
        <f t="shared" si="6"/>
        <v>45504</v>
      </c>
      <c r="X78" s="25" t="str">
        <f t="shared" si="7"/>
        <v>ELE</v>
      </c>
      <c r="Y78" s="25" t="str">
        <f t="shared" si="8"/>
        <v>STD.</v>
      </c>
    </row>
    <row r="79" spans="1:25" ht="17.5" customHeight="1" thickBot="1">
      <c r="A79" s="12" t="s">
        <v>176</v>
      </c>
      <c r="B79" s="13">
        <v>45500</v>
      </c>
      <c r="C79" s="12" t="s">
        <v>426</v>
      </c>
      <c r="D79" s="12" t="s">
        <v>58</v>
      </c>
      <c r="E79" s="12" t="s">
        <v>666</v>
      </c>
      <c r="F79" s="12" t="s">
        <v>16</v>
      </c>
      <c r="G79" s="12" t="s">
        <v>17</v>
      </c>
      <c r="H79" s="14">
        <v>2</v>
      </c>
      <c r="I79" s="14">
        <v>249.99</v>
      </c>
      <c r="J79" s="12" t="s">
        <v>18</v>
      </c>
      <c r="K79" s="12" t="s">
        <v>32</v>
      </c>
      <c r="L79" s="12" t="s">
        <v>23</v>
      </c>
      <c r="M79" s="13">
        <v>45164</v>
      </c>
      <c r="N79" s="17">
        <v>499.98</v>
      </c>
      <c r="O79" s="18">
        <f t="shared" ca="1" si="5"/>
        <v>2</v>
      </c>
      <c r="P79" s="19">
        <f t="shared" si="6"/>
        <v>45504</v>
      </c>
      <c r="X79" s="25" t="str">
        <f t="shared" si="7"/>
        <v>ELE</v>
      </c>
      <c r="Y79" s="25" t="str">
        <f t="shared" si="8"/>
        <v>PREM.</v>
      </c>
    </row>
    <row r="80" spans="1:25" ht="17.5" customHeight="1" thickBot="1">
      <c r="A80" s="12" t="s">
        <v>177</v>
      </c>
      <c r="B80" s="13">
        <v>45500</v>
      </c>
      <c r="C80" s="12" t="s">
        <v>427</v>
      </c>
      <c r="D80" s="12" t="s">
        <v>78</v>
      </c>
      <c r="E80" s="12" t="s">
        <v>667</v>
      </c>
      <c r="F80" s="12" t="s">
        <v>62</v>
      </c>
      <c r="G80" s="12" t="s">
        <v>36</v>
      </c>
      <c r="H80" s="14">
        <v>1</v>
      </c>
      <c r="I80" s="14">
        <v>299.99</v>
      </c>
      <c r="J80" s="12" t="s">
        <v>18</v>
      </c>
      <c r="K80" s="12" t="s">
        <v>29</v>
      </c>
      <c r="L80" s="12" t="s">
        <v>20</v>
      </c>
      <c r="M80" s="13">
        <v>44982</v>
      </c>
      <c r="N80" s="17">
        <v>299.99</v>
      </c>
      <c r="O80" s="18">
        <f t="shared" ca="1" si="5"/>
        <v>2</v>
      </c>
      <c r="P80" s="19">
        <f t="shared" si="6"/>
        <v>45504</v>
      </c>
      <c r="X80" s="25" t="str">
        <f t="shared" si="7"/>
        <v>FUR</v>
      </c>
      <c r="Y80" s="25" t="str">
        <f t="shared" si="8"/>
        <v>BAS.</v>
      </c>
    </row>
    <row r="81" spans="1:25" ht="17.5" customHeight="1" thickBot="1">
      <c r="A81" s="12" t="s">
        <v>178</v>
      </c>
      <c r="B81" s="13">
        <v>45501</v>
      </c>
      <c r="C81" s="12" t="s">
        <v>428</v>
      </c>
      <c r="D81" s="12" t="s">
        <v>55</v>
      </c>
      <c r="E81" s="12" t="s">
        <v>668</v>
      </c>
      <c r="F81" s="12" t="s">
        <v>68</v>
      </c>
      <c r="G81" s="12" t="s">
        <v>17</v>
      </c>
      <c r="H81" s="14">
        <v>2</v>
      </c>
      <c r="I81" s="14">
        <v>89.99</v>
      </c>
      <c r="J81" s="12" t="s">
        <v>28</v>
      </c>
      <c r="K81" s="12" t="s">
        <v>29</v>
      </c>
      <c r="L81" s="12" t="s">
        <v>20</v>
      </c>
      <c r="M81" s="13">
        <v>44976</v>
      </c>
      <c r="N81" s="17">
        <v>179.98</v>
      </c>
      <c r="O81" s="18">
        <f t="shared" ca="1" si="5"/>
        <v>3</v>
      </c>
      <c r="P81" s="19">
        <f t="shared" si="6"/>
        <v>45504</v>
      </c>
      <c r="X81" s="25" t="str">
        <f t="shared" si="7"/>
        <v>ELE</v>
      </c>
      <c r="Y81" s="25" t="str">
        <f t="shared" si="8"/>
        <v>BAS.</v>
      </c>
    </row>
    <row r="82" spans="1:25" ht="17.5" customHeight="1" thickBot="1">
      <c r="A82" s="12" t="s">
        <v>179</v>
      </c>
      <c r="B82" s="13">
        <v>45501</v>
      </c>
      <c r="C82" s="12" t="s">
        <v>429</v>
      </c>
      <c r="D82" s="12" t="s">
        <v>78</v>
      </c>
      <c r="E82" s="12" t="s">
        <v>669</v>
      </c>
      <c r="F82" s="12" t="s">
        <v>62</v>
      </c>
      <c r="G82" s="12" t="s">
        <v>36</v>
      </c>
      <c r="H82" s="14">
        <v>3</v>
      </c>
      <c r="I82" s="14">
        <v>299.99</v>
      </c>
      <c r="J82" s="12" t="s">
        <v>18</v>
      </c>
      <c r="K82" s="12" t="s">
        <v>19</v>
      </c>
      <c r="L82" s="12" t="s">
        <v>20</v>
      </c>
      <c r="M82" s="13">
        <v>44732</v>
      </c>
      <c r="N82" s="17">
        <v>899.97</v>
      </c>
      <c r="O82" s="18">
        <f t="shared" ca="1" si="5"/>
        <v>3</v>
      </c>
      <c r="P82" s="19">
        <f t="shared" si="6"/>
        <v>45504</v>
      </c>
      <c r="X82" s="25" t="str">
        <f t="shared" si="7"/>
        <v>FUR</v>
      </c>
      <c r="Y82" s="25" t="str">
        <f t="shared" si="8"/>
        <v>BAS.</v>
      </c>
    </row>
    <row r="83" spans="1:25" ht="17.5" customHeight="1" thickBot="1">
      <c r="A83" s="12" t="s">
        <v>180</v>
      </c>
      <c r="B83" s="13">
        <v>45503</v>
      </c>
      <c r="C83" s="12" t="s">
        <v>430</v>
      </c>
      <c r="D83" s="12" t="s">
        <v>55</v>
      </c>
      <c r="E83" s="12" t="s">
        <v>670</v>
      </c>
      <c r="F83" s="12" t="s">
        <v>53</v>
      </c>
      <c r="G83" s="12" t="s">
        <v>17</v>
      </c>
      <c r="H83" s="14">
        <v>2</v>
      </c>
      <c r="I83" s="14">
        <v>699.99</v>
      </c>
      <c r="J83" s="12" t="s">
        <v>22</v>
      </c>
      <c r="K83" s="12" t="s">
        <v>32</v>
      </c>
      <c r="L83" s="12" t="s">
        <v>23</v>
      </c>
      <c r="M83" s="13">
        <v>44999</v>
      </c>
      <c r="N83" s="17">
        <v>1399.98</v>
      </c>
      <c r="O83" s="18">
        <f t="shared" ca="1" si="5"/>
        <v>2</v>
      </c>
      <c r="P83" s="19">
        <f t="shared" si="6"/>
        <v>45504</v>
      </c>
      <c r="X83" s="25" t="str">
        <f t="shared" si="7"/>
        <v>ELE</v>
      </c>
      <c r="Y83" s="25" t="str">
        <f t="shared" si="8"/>
        <v>PREM.</v>
      </c>
    </row>
    <row r="84" spans="1:25" ht="17.5" customHeight="1" thickBot="1">
      <c r="A84" s="12" t="s">
        <v>181</v>
      </c>
      <c r="B84" s="13">
        <v>45504</v>
      </c>
      <c r="C84" s="12" t="s">
        <v>431</v>
      </c>
      <c r="D84" s="12" t="s">
        <v>69</v>
      </c>
      <c r="E84" s="12" t="s">
        <v>671</v>
      </c>
      <c r="F84" s="12" t="s">
        <v>45</v>
      </c>
      <c r="G84" s="12" t="s">
        <v>17</v>
      </c>
      <c r="H84" s="14">
        <v>4</v>
      </c>
      <c r="I84" s="14">
        <v>899.99</v>
      </c>
      <c r="J84" s="12" t="s">
        <v>42</v>
      </c>
      <c r="K84" s="12" t="s">
        <v>29</v>
      </c>
      <c r="L84" s="12" t="s">
        <v>30</v>
      </c>
      <c r="M84" s="13">
        <v>44523</v>
      </c>
      <c r="N84" s="17">
        <v>3599.96</v>
      </c>
      <c r="O84" s="18">
        <f t="shared" ca="1" si="5"/>
        <v>4</v>
      </c>
      <c r="P84" s="19">
        <f t="shared" si="6"/>
        <v>45504</v>
      </c>
      <c r="X84" s="25" t="str">
        <f t="shared" si="7"/>
        <v>ELE</v>
      </c>
      <c r="Y84" s="25" t="str">
        <f t="shared" si="8"/>
        <v>STD.</v>
      </c>
    </row>
    <row r="85" spans="1:25" ht="17.5" customHeight="1" thickBot="1">
      <c r="A85" s="12" t="s">
        <v>182</v>
      </c>
      <c r="B85" s="13">
        <v>45509</v>
      </c>
      <c r="C85" s="12" t="s">
        <v>432</v>
      </c>
      <c r="D85" s="12" t="s">
        <v>88</v>
      </c>
      <c r="E85" s="12" t="s">
        <v>672</v>
      </c>
      <c r="F85" s="12" t="s">
        <v>35</v>
      </c>
      <c r="G85" s="12" t="s">
        <v>36</v>
      </c>
      <c r="H85" s="14">
        <v>2</v>
      </c>
      <c r="I85" s="14">
        <v>149.99</v>
      </c>
      <c r="J85" s="12" t="s">
        <v>22</v>
      </c>
      <c r="K85" s="12" t="s">
        <v>38</v>
      </c>
      <c r="L85" s="12" t="s">
        <v>20</v>
      </c>
      <c r="M85" s="13">
        <v>44542</v>
      </c>
      <c r="N85" s="17">
        <v>299.98</v>
      </c>
      <c r="O85" s="18">
        <f t="shared" ca="1" si="5"/>
        <v>4</v>
      </c>
      <c r="P85" s="19">
        <f t="shared" si="6"/>
        <v>45535</v>
      </c>
      <c r="X85" s="25" t="str">
        <f t="shared" si="7"/>
        <v>FUR</v>
      </c>
      <c r="Y85" s="25" t="str">
        <f t="shared" si="8"/>
        <v>BAS.</v>
      </c>
    </row>
    <row r="86" spans="1:25" ht="17.5" customHeight="1" thickBot="1">
      <c r="A86" s="12" t="s">
        <v>183</v>
      </c>
      <c r="B86" s="13">
        <v>45510</v>
      </c>
      <c r="C86" s="12" t="s">
        <v>433</v>
      </c>
      <c r="D86" s="12" t="s">
        <v>60</v>
      </c>
      <c r="E86" s="12" t="s">
        <v>673</v>
      </c>
      <c r="F86" s="12" t="s">
        <v>35</v>
      </c>
      <c r="G86" s="12" t="s">
        <v>36</v>
      </c>
      <c r="H86" s="14">
        <v>2</v>
      </c>
      <c r="I86" s="14">
        <v>149.99</v>
      </c>
      <c r="J86" s="12" t="s">
        <v>42</v>
      </c>
      <c r="K86" s="12" t="s">
        <v>46</v>
      </c>
      <c r="L86" s="12" t="s">
        <v>30</v>
      </c>
      <c r="M86" s="13">
        <v>44667</v>
      </c>
      <c r="N86" s="17">
        <v>299.98</v>
      </c>
      <c r="O86" s="18">
        <f t="shared" ca="1" si="5"/>
        <v>3</v>
      </c>
      <c r="P86" s="19">
        <f t="shared" si="6"/>
        <v>45535</v>
      </c>
      <c r="X86" s="25" t="str">
        <f t="shared" si="7"/>
        <v>FUR</v>
      </c>
      <c r="Y86" s="25" t="str">
        <f t="shared" si="8"/>
        <v>STD.</v>
      </c>
    </row>
    <row r="87" spans="1:25" ht="17.5" customHeight="1" thickBot="1">
      <c r="A87" s="12" t="s">
        <v>184</v>
      </c>
      <c r="B87" s="13">
        <v>45513</v>
      </c>
      <c r="C87" s="12" t="s">
        <v>434</v>
      </c>
      <c r="D87" s="12" t="s">
        <v>56</v>
      </c>
      <c r="E87" s="12" t="s">
        <v>674</v>
      </c>
      <c r="F87" s="12" t="s">
        <v>68</v>
      </c>
      <c r="G87" s="12" t="s">
        <v>17</v>
      </c>
      <c r="H87" s="14">
        <v>1</v>
      </c>
      <c r="I87" s="14">
        <v>89.99</v>
      </c>
      <c r="J87" s="12" t="s">
        <v>22</v>
      </c>
      <c r="K87" s="12" t="s">
        <v>32</v>
      </c>
      <c r="L87" s="12" t="s">
        <v>30</v>
      </c>
      <c r="M87" s="13">
        <v>45393</v>
      </c>
      <c r="N87" s="17">
        <v>89.99</v>
      </c>
      <c r="O87" s="18">
        <f t="shared" ca="1" si="5"/>
        <v>1</v>
      </c>
      <c r="P87" s="19">
        <f t="shared" si="6"/>
        <v>45535</v>
      </c>
      <c r="X87" s="25" t="str">
        <f t="shared" si="7"/>
        <v>ELE</v>
      </c>
      <c r="Y87" s="25" t="str">
        <f t="shared" si="8"/>
        <v>STD.</v>
      </c>
    </row>
    <row r="88" spans="1:25" ht="17.5" customHeight="1" thickBot="1">
      <c r="A88" s="12" t="s">
        <v>185</v>
      </c>
      <c r="B88" s="13">
        <v>45515</v>
      </c>
      <c r="C88" s="12" t="s">
        <v>435</v>
      </c>
      <c r="D88" s="12" t="s">
        <v>55</v>
      </c>
      <c r="E88" s="12" t="s">
        <v>675</v>
      </c>
      <c r="F88" s="12" t="s">
        <v>62</v>
      </c>
      <c r="G88" s="12" t="s">
        <v>36</v>
      </c>
      <c r="H88" s="14">
        <v>5</v>
      </c>
      <c r="I88" s="14">
        <v>299.99</v>
      </c>
      <c r="J88" s="12" t="s">
        <v>22</v>
      </c>
      <c r="K88" s="12" t="s">
        <v>32</v>
      </c>
      <c r="L88" s="12" t="s">
        <v>20</v>
      </c>
      <c r="M88" s="13">
        <v>44965</v>
      </c>
      <c r="N88" s="17">
        <v>1499.95</v>
      </c>
      <c r="O88" s="18">
        <f t="shared" ca="1" si="5"/>
        <v>3</v>
      </c>
      <c r="P88" s="19">
        <f t="shared" si="6"/>
        <v>45535</v>
      </c>
      <c r="X88" s="25" t="str">
        <f t="shared" si="7"/>
        <v>FUR</v>
      </c>
      <c r="Y88" s="25" t="str">
        <f t="shared" si="8"/>
        <v>BAS.</v>
      </c>
    </row>
    <row r="89" spans="1:25" ht="17.5" customHeight="1" thickBot="1">
      <c r="A89" s="12" t="s">
        <v>186</v>
      </c>
      <c r="B89" s="13">
        <v>45517</v>
      </c>
      <c r="C89" s="12" t="s">
        <v>436</v>
      </c>
      <c r="D89" s="12" t="s">
        <v>84</v>
      </c>
      <c r="E89" s="12" t="s">
        <v>676</v>
      </c>
      <c r="F89" s="12" t="s">
        <v>40</v>
      </c>
      <c r="G89" s="12" t="s">
        <v>17</v>
      </c>
      <c r="H89" s="14">
        <v>4</v>
      </c>
      <c r="I89" s="14">
        <v>149.99</v>
      </c>
      <c r="J89" s="12" t="s">
        <v>42</v>
      </c>
      <c r="K89" s="12" t="s">
        <v>29</v>
      </c>
      <c r="L89" s="12" t="s">
        <v>23</v>
      </c>
      <c r="M89" s="13">
        <v>44820</v>
      </c>
      <c r="N89" s="17">
        <v>599.96</v>
      </c>
      <c r="O89" s="18">
        <f t="shared" ca="1" si="5"/>
        <v>3</v>
      </c>
      <c r="P89" s="19">
        <f t="shared" si="6"/>
        <v>45535</v>
      </c>
      <c r="X89" s="25" t="str">
        <f t="shared" si="7"/>
        <v>ELE</v>
      </c>
      <c r="Y89" s="25" t="str">
        <f t="shared" si="8"/>
        <v>PREM.</v>
      </c>
    </row>
    <row r="90" spans="1:25" ht="17.5" customHeight="1" thickBot="1">
      <c r="A90" s="12" t="s">
        <v>187</v>
      </c>
      <c r="B90" s="13">
        <v>45517</v>
      </c>
      <c r="C90" s="12" t="s">
        <v>437</v>
      </c>
      <c r="D90" s="12" t="s">
        <v>85</v>
      </c>
      <c r="E90" s="12" t="s">
        <v>677</v>
      </c>
      <c r="F90" s="12" t="s">
        <v>16</v>
      </c>
      <c r="G90" s="12" t="s">
        <v>17</v>
      </c>
      <c r="H90" s="14">
        <v>5</v>
      </c>
      <c r="I90" s="14">
        <v>249.99</v>
      </c>
      <c r="J90" s="12" t="s">
        <v>28</v>
      </c>
      <c r="K90" s="12" t="s">
        <v>46</v>
      </c>
      <c r="L90" s="12" t="s">
        <v>23</v>
      </c>
      <c r="M90" s="13">
        <v>44782</v>
      </c>
      <c r="N90" s="17">
        <v>1249.95</v>
      </c>
      <c r="O90" s="18">
        <f t="shared" ca="1" si="5"/>
        <v>3</v>
      </c>
      <c r="P90" s="19">
        <f t="shared" si="6"/>
        <v>45535</v>
      </c>
      <c r="X90" s="25" t="str">
        <f t="shared" si="7"/>
        <v>ELE</v>
      </c>
      <c r="Y90" s="25" t="str">
        <f t="shared" si="8"/>
        <v>PREM.</v>
      </c>
    </row>
    <row r="91" spans="1:25" ht="17.5" customHeight="1" thickBot="1">
      <c r="A91" s="12" t="s">
        <v>188</v>
      </c>
      <c r="B91" s="13">
        <v>45517</v>
      </c>
      <c r="C91" s="12" t="s">
        <v>438</v>
      </c>
      <c r="D91" s="12" t="s">
        <v>47</v>
      </c>
      <c r="E91" s="12" t="s">
        <v>678</v>
      </c>
      <c r="F91" s="12" t="s">
        <v>16</v>
      </c>
      <c r="G91" s="12" t="s">
        <v>17</v>
      </c>
      <c r="H91" s="14">
        <v>3</v>
      </c>
      <c r="I91" s="14">
        <v>249.99</v>
      </c>
      <c r="J91" s="12" t="s">
        <v>28</v>
      </c>
      <c r="K91" s="12" t="s">
        <v>32</v>
      </c>
      <c r="L91" s="12" t="s">
        <v>23</v>
      </c>
      <c r="M91" s="13">
        <v>44465</v>
      </c>
      <c r="N91" s="17">
        <v>749.97</v>
      </c>
      <c r="O91" s="18">
        <f t="shared" ca="1" si="5"/>
        <v>4</v>
      </c>
      <c r="P91" s="19">
        <f t="shared" si="6"/>
        <v>45535</v>
      </c>
      <c r="X91" s="25" t="str">
        <f t="shared" si="7"/>
        <v>ELE</v>
      </c>
      <c r="Y91" s="25" t="str">
        <f t="shared" si="8"/>
        <v>PREM.</v>
      </c>
    </row>
    <row r="92" spans="1:25" ht="17.5" customHeight="1" thickBot="1">
      <c r="A92" s="12" t="s">
        <v>189</v>
      </c>
      <c r="B92" s="13">
        <v>45517</v>
      </c>
      <c r="C92" s="12" t="s">
        <v>439</v>
      </c>
      <c r="D92" s="12" t="s">
        <v>31</v>
      </c>
      <c r="E92" s="12" t="s">
        <v>679</v>
      </c>
      <c r="F92" s="12" t="s">
        <v>72</v>
      </c>
      <c r="G92" s="12" t="s">
        <v>36</v>
      </c>
      <c r="H92" s="14">
        <v>4</v>
      </c>
      <c r="I92" s="14">
        <v>199.99</v>
      </c>
      <c r="J92" s="12" t="s">
        <v>18</v>
      </c>
      <c r="K92" s="12" t="s">
        <v>32</v>
      </c>
      <c r="L92" s="12" t="s">
        <v>30</v>
      </c>
      <c r="M92" s="13">
        <v>44458</v>
      </c>
      <c r="N92" s="17">
        <v>799.96</v>
      </c>
      <c r="O92" s="18">
        <f t="shared" ca="1" si="5"/>
        <v>4</v>
      </c>
      <c r="P92" s="19">
        <f t="shared" si="6"/>
        <v>45535</v>
      </c>
      <c r="X92" s="25" t="str">
        <f t="shared" si="7"/>
        <v>FUR</v>
      </c>
      <c r="Y92" s="25" t="str">
        <f t="shared" si="8"/>
        <v>STD.</v>
      </c>
    </row>
    <row r="93" spans="1:25" ht="17.5" customHeight="1" thickBot="1">
      <c r="A93" s="12" t="s">
        <v>190</v>
      </c>
      <c r="B93" s="13">
        <v>45519</v>
      </c>
      <c r="C93" s="12" t="s">
        <v>440</v>
      </c>
      <c r="D93" s="12" t="s">
        <v>81</v>
      </c>
      <c r="E93" s="12" t="s">
        <v>680</v>
      </c>
      <c r="F93" s="12" t="s">
        <v>72</v>
      </c>
      <c r="G93" s="12" t="s">
        <v>36</v>
      </c>
      <c r="H93" s="14">
        <v>5</v>
      </c>
      <c r="I93" s="14">
        <v>199.99</v>
      </c>
      <c r="J93" s="12" t="s">
        <v>18</v>
      </c>
      <c r="K93" s="12" t="s">
        <v>32</v>
      </c>
      <c r="L93" s="12" t="s">
        <v>23</v>
      </c>
      <c r="M93" s="13">
        <v>44991</v>
      </c>
      <c r="N93" s="17">
        <v>999.95</v>
      </c>
      <c r="O93" s="18">
        <f t="shared" ca="1" si="5"/>
        <v>2</v>
      </c>
      <c r="P93" s="19">
        <f t="shared" si="6"/>
        <v>45535</v>
      </c>
      <c r="X93" s="25" t="str">
        <f t="shared" si="7"/>
        <v>FUR</v>
      </c>
      <c r="Y93" s="25" t="str">
        <f t="shared" si="8"/>
        <v>PREM.</v>
      </c>
    </row>
    <row r="94" spans="1:25" ht="17.5" customHeight="1" thickBot="1">
      <c r="A94" s="12" t="s">
        <v>191</v>
      </c>
      <c r="B94" s="13">
        <v>45522</v>
      </c>
      <c r="C94" s="12" t="s">
        <v>441</v>
      </c>
      <c r="D94" s="12" t="s">
        <v>55</v>
      </c>
      <c r="E94" s="12" t="s">
        <v>681</v>
      </c>
      <c r="F94" s="12" t="s">
        <v>68</v>
      </c>
      <c r="G94" s="12" t="s">
        <v>17</v>
      </c>
      <c r="H94" s="14">
        <v>2</v>
      </c>
      <c r="I94" s="14">
        <v>89.99</v>
      </c>
      <c r="J94" s="12" t="s">
        <v>18</v>
      </c>
      <c r="K94" s="12" t="s">
        <v>46</v>
      </c>
      <c r="L94" s="12" t="s">
        <v>23</v>
      </c>
      <c r="M94" s="13">
        <v>44972</v>
      </c>
      <c r="N94" s="17">
        <v>179.98</v>
      </c>
      <c r="O94" s="18">
        <f t="shared" ca="1" si="5"/>
        <v>3</v>
      </c>
      <c r="P94" s="19">
        <f t="shared" si="6"/>
        <v>45535</v>
      </c>
      <c r="X94" s="25" t="str">
        <f t="shared" si="7"/>
        <v>ELE</v>
      </c>
      <c r="Y94" s="25" t="str">
        <f t="shared" si="8"/>
        <v>PREM.</v>
      </c>
    </row>
    <row r="95" spans="1:25" ht="17.5" customHeight="1" thickBot="1">
      <c r="A95" s="12" t="s">
        <v>192</v>
      </c>
      <c r="B95" s="13">
        <v>45523</v>
      </c>
      <c r="C95" s="12" t="s">
        <v>442</v>
      </c>
      <c r="D95" s="12" t="s">
        <v>87</v>
      </c>
      <c r="E95" s="12" t="s">
        <v>682</v>
      </c>
      <c r="F95" s="12" t="s">
        <v>45</v>
      </c>
      <c r="G95" s="12" t="s">
        <v>17</v>
      </c>
      <c r="H95" s="14">
        <v>5</v>
      </c>
      <c r="I95" s="14">
        <v>899.99</v>
      </c>
      <c r="J95" s="12" t="s">
        <v>42</v>
      </c>
      <c r="K95" s="12" t="s">
        <v>46</v>
      </c>
      <c r="L95" s="12" t="s">
        <v>20</v>
      </c>
      <c r="M95" s="13">
        <v>44526</v>
      </c>
      <c r="N95" s="17">
        <v>4499.95</v>
      </c>
      <c r="O95" s="18">
        <f t="shared" ca="1" si="5"/>
        <v>4</v>
      </c>
      <c r="P95" s="19">
        <f t="shared" si="6"/>
        <v>45535</v>
      </c>
      <c r="X95" s="25" t="str">
        <f t="shared" si="7"/>
        <v>ELE</v>
      </c>
      <c r="Y95" s="25" t="str">
        <f t="shared" si="8"/>
        <v>BAS.</v>
      </c>
    </row>
    <row r="96" spans="1:25" ht="17.5" customHeight="1" thickBot="1">
      <c r="A96" s="12" t="s">
        <v>193</v>
      </c>
      <c r="B96" s="13">
        <v>45523</v>
      </c>
      <c r="C96" s="12" t="s">
        <v>443</v>
      </c>
      <c r="D96" s="12" t="s">
        <v>63</v>
      </c>
      <c r="E96" s="12" t="s">
        <v>683</v>
      </c>
      <c r="F96" s="12" t="s">
        <v>40</v>
      </c>
      <c r="G96" s="12" t="s">
        <v>17</v>
      </c>
      <c r="H96" s="14">
        <v>3</v>
      </c>
      <c r="I96" s="14">
        <v>149.99</v>
      </c>
      <c r="J96" s="12" t="s">
        <v>28</v>
      </c>
      <c r="K96" s="12" t="s">
        <v>46</v>
      </c>
      <c r="L96" s="12" t="s">
        <v>20</v>
      </c>
      <c r="M96" s="13">
        <v>44574</v>
      </c>
      <c r="N96" s="17">
        <v>449.97</v>
      </c>
      <c r="O96" s="18">
        <f t="shared" ca="1" si="5"/>
        <v>4</v>
      </c>
      <c r="P96" s="19">
        <f t="shared" si="6"/>
        <v>45535</v>
      </c>
      <c r="X96" s="25" t="str">
        <f t="shared" si="7"/>
        <v>ELE</v>
      </c>
      <c r="Y96" s="25" t="str">
        <f t="shared" si="8"/>
        <v>BAS.</v>
      </c>
    </row>
    <row r="97" spans="1:25" ht="17.5" customHeight="1" thickBot="1">
      <c r="A97" s="12" t="s">
        <v>194</v>
      </c>
      <c r="B97" s="13">
        <v>45526</v>
      </c>
      <c r="C97" s="12" t="s">
        <v>444</v>
      </c>
      <c r="D97" s="12" t="s">
        <v>60</v>
      </c>
      <c r="E97" s="12" t="s">
        <v>684</v>
      </c>
      <c r="F97" s="12" t="s">
        <v>35</v>
      </c>
      <c r="G97" s="12" t="s">
        <v>36</v>
      </c>
      <c r="H97" s="14">
        <v>5</v>
      </c>
      <c r="I97" s="14">
        <v>149.99</v>
      </c>
      <c r="J97" s="12" t="s">
        <v>22</v>
      </c>
      <c r="K97" s="12" t="s">
        <v>19</v>
      </c>
      <c r="L97" s="12" t="s">
        <v>20</v>
      </c>
      <c r="M97" s="13">
        <v>45310</v>
      </c>
      <c r="N97" s="17">
        <v>749.95</v>
      </c>
      <c r="O97" s="18">
        <f t="shared" ca="1" si="5"/>
        <v>2</v>
      </c>
      <c r="P97" s="19">
        <f t="shared" si="6"/>
        <v>45535</v>
      </c>
      <c r="X97" s="25" t="str">
        <f t="shared" si="7"/>
        <v>FUR</v>
      </c>
      <c r="Y97" s="25" t="str">
        <f t="shared" si="8"/>
        <v>BAS.</v>
      </c>
    </row>
    <row r="98" spans="1:25" ht="17.5" customHeight="1" thickBot="1">
      <c r="A98" s="12" t="s">
        <v>195</v>
      </c>
      <c r="B98" s="13">
        <v>45528</v>
      </c>
      <c r="C98" s="12" t="s">
        <v>445</v>
      </c>
      <c r="D98" s="12" t="s">
        <v>89</v>
      </c>
      <c r="E98" s="12" t="s">
        <v>685</v>
      </c>
      <c r="F98" s="12" t="s">
        <v>66</v>
      </c>
      <c r="G98" s="12" t="s">
        <v>27</v>
      </c>
      <c r="H98" s="14">
        <v>3</v>
      </c>
      <c r="I98" s="14">
        <v>79.989999999999995</v>
      </c>
      <c r="J98" s="12" t="s">
        <v>18</v>
      </c>
      <c r="K98" s="12" t="s">
        <v>19</v>
      </c>
      <c r="L98" s="12" t="s">
        <v>23</v>
      </c>
      <c r="M98" s="13">
        <v>44779</v>
      </c>
      <c r="N98" s="17">
        <v>239.97</v>
      </c>
      <c r="O98" s="18">
        <f t="shared" ca="1" si="5"/>
        <v>3</v>
      </c>
      <c r="P98" s="19">
        <f t="shared" si="6"/>
        <v>45535</v>
      </c>
      <c r="X98" s="25" t="str">
        <f t="shared" si="7"/>
        <v>APP</v>
      </c>
      <c r="Y98" s="25" t="str">
        <f t="shared" si="8"/>
        <v>PREM.</v>
      </c>
    </row>
    <row r="99" spans="1:25" ht="17.5" customHeight="1" thickBot="1">
      <c r="A99" s="12" t="s">
        <v>196</v>
      </c>
      <c r="B99" s="13">
        <v>45528</v>
      </c>
      <c r="C99" s="12" t="s">
        <v>446</v>
      </c>
      <c r="D99" s="12" t="s">
        <v>77</v>
      </c>
      <c r="E99" s="12" t="s">
        <v>686</v>
      </c>
      <c r="F99" s="12" t="s">
        <v>16</v>
      </c>
      <c r="G99" s="12" t="s">
        <v>17</v>
      </c>
      <c r="H99" s="14">
        <v>2</v>
      </c>
      <c r="I99" s="14">
        <v>249.99</v>
      </c>
      <c r="J99" s="12" t="s">
        <v>18</v>
      </c>
      <c r="K99" s="12" t="s">
        <v>29</v>
      </c>
      <c r="L99" s="12" t="s">
        <v>30</v>
      </c>
      <c r="M99" s="13">
        <v>44572</v>
      </c>
      <c r="N99" s="17">
        <v>499.98</v>
      </c>
      <c r="O99" s="18">
        <f t="shared" ca="1" si="5"/>
        <v>4</v>
      </c>
      <c r="P99" s="19">
        <f t="shared" si="6"/>
        <v>45535</v>
      </c>
      <c r="X99" s="25" t="str">
        <f t="shared" si="7"/>
        <v>ELE</v>
      </c>
      <c r="Y99" s="25" t="str">
        <f t="shared" si="8"/>
        <v>STD.</v>
      </c>
    </row>
    <row r="100" spans="1:25" ht="17.5" customHeight="1" thickBot="1">
      <c r="A100" s="12" t="s">
        <v>197</v>
      </c>
      <c r="B100" s="13">
        <v>45532</v>
      </c>
      <c r="C100" s="12" t="s">
        <v>447</v>
      </c>
      <c r="D100" s="12" t="s">
        <v>87</v>
      </c>
      <c r="E100" s="12" t="s">
        <v>687</v>
      </c>
      <c r="F100" s="12" t="s">
        <v>53</v>
      </c>
      <c r="G100" s="12" t="s">
        <v>17</v>
      </c>
      <c r="H100" s="14">
        <v>1</v>
      </c>
      <c r="I100" s="14">
        <v>699.99</v>
      </c>
      <c r="J100" s="12" t="s">
        <v>18</v>
      </c>
      <c r="K100" s="12" t="s">
        <v>19</v>
      </c>
      <c r="L100" s="12" t="s">
        <v>23</v>
      </c>
      <c r="M100" s="13">
        <v>44497</v>
      </c>
      <c r="N100" s="17">
        <v>699.99</v>
      </c>
      <c r="O100" s="18">
        <f t="shared" ca="1" si="5"/>
        <v>4</v>
      </c>
      <c r="P100" s="19">
        <f t="shared" si="6"/>
        <v>45535</v>
      </c>
      <c r="X100" s="25" t="str">
        <f t="shared" si="7"/>
        <v>ELE</v>
      </c>
      <c r="Y100" s="25" t="str">
        <f t="shared" si="8"/>
        <v>PREM.</v>
      </c>
    </row>
    <row r="101" spans="1:25" ht="17.5" customHeight="1" thickBot="1">
      <c r="A101" s="12" t="s">
        <v>198</v>
      </c>
      <c r="B101" s="13">
        <v>45532</v>
      </c>
      <c r="C101" s="12" t="s">
        <v>448</v>
      </c>
      <c r="D101" s="12" t="s">
        <v>90</v>
      </c>
      <c r="E101" s="12" t="s">
        <v>688</v>
      </c>
      <c r="F101" s="12" t="s">
        <v>40</v>
      </c>
      <c r="G101" s="12" t="s">
        <v>17</v>
      </c>
      <c r="H101" s="14">
        <v>3</v>
      </c>
      <c r="I101" s="14">
        <v>149.99</v>
      </c>
      <c r="J101" s="12" t="s">
        <v>18</v>
      </c>
      <c r="K101" s="12" t="s">
        <v>38</v>
      </c>
      <c r="L101" s="12" t="s">
        <v>23</v>
      </c>
      <c r="M101" s="13">
        <v>45212</v>
      </c>
      <c r="N101" s="17">
        <v>449.97</v>
      </c>
      <c r="O101" s="18">
        <f t="shared" ca="1" si="5"/>
        <v>2</v>
      </c>
      <c r="P101" s="19">
        <f t="shared" si="6"/>
        <v>45535</v>
      </c>
      <c r="X101" s="25" t="str">
        <f t="shared" si="7"/>
        <v>ELE</v>
      </c>
      <c r="Y101" s="25" t="str">
        <f t="shared" si="8"/>
        <v>PREM.</v>
      </c>
    </row>
    <row r="102" spans="1:25" ht="17.5" customHeight="1" thickBot="1">
      <c r="A102" s="12" t="s">
        <v>199</v>
      </c>
      <c r="B102" s="13">
        <v>45534</v>
      </c>
      <c r="C102" s="12" t="s">
        <v>449</v>
      </c>
      <c r="D102" s="12" t="s">
        <v>91</v>
      </c>
      <c r="E102" s="12" t="s">
        <v>689</v>
      </c>
      <c r="F102" s="12" t="s">
        <v>53</v>
      </c>
      <c r="G102" s="12" t="s">
        <v>17</v>
      </c>
      <c r="H102" s="14">
        <v>2</v>
      </c>
      <c r="I102" s="14">
        <v>699.99</v>
      </c>
      <c r="J102" s="12" t="s">
        <v>22</v>
      </c>
      <c r="K102" s="12" t="s">
        <v>32</v>
      </c>
      <c r="L102" s="12" t="s">
        <v>23</v>
      </c>
      <c r="M102" s="13">
        <v>44421</v>
      </c>
      <c r="N102" s="17">
        <v>1399.98</v>
      </c>
      <c r="O102" s="18">
        <f t="shared" ca="1" si="5"/>
        <v>4</v>
      </c>
      <c r="P102" s="19">
        <f t="shared" si="6"/>
        <v>45535</v>
      </c>
      <c r="X102" s="25" t="str">
        <f t="shared" si="7"/>
        <v>ELE</v>
      </c>
      <c r="Y102" s="25" t="str">
        <f t="shared" si="8"/>
        <v>PREM.</v>
      </c>
    </row>
    <row r="103" spans="1:25" ht="17.5" customHeight="1" thickBot="1">
      <c r="A103" s="12" t="s">
        <v>200</v>
      </c>
      <c r="B103" s="13">
        <v>45537</v>
      </c>
      <c r="C103" s="12" t="s">
        <v>450</v>
      </c>
      <c r="D103" s="12" t="s">
        <v>90</v>
      </c>
      <c r="E103" s="12" t="s">
        <v>690</v>
      </c>
      <c r="F103" s="12" t="s">
        <v>16</v>
      </c>
      <c r="G103" s="12" t="s">
        <v>17</v>
      </c>
      <c r="H103" s="14">
        <v>1</v>
      </c>
      <c r="I103" s="14">
        <v>249.99</v>
      </c>
      <c r="J103" s="12" t="s">
        <v>22</v>
      </c>
      <c r="K103" s="12" t="s">
        <v>38</v>
      </c>
      <c r="L103" s="12" t="s">
        <v>23</v>
      </c>
      <c r="M103" s="13">
        <v>44685</v>
      </c>
      <c r="N103" s="17">
        <v>249.99</v>
      </c>
      <c r="O103" s="18">
        <f t="shared" ca="1" si="5"/>
        <v>3</v>
      </c>
      <c r="P103" s="19">
        <f t="shared" si="6"/>
        <v>45565</v>
      </c>
      <c r="X103" s="25" t="str">
        <f t="shared" si="7"/>
        <v>ELE</v>
      </c>
      <c r="Y103" s="25" t="str">
        <f t="shared" si="8"/>
        <v>PREM.</v>
      </c>
    </row>
    <row r="104" spans="1:25" ht="17.5" customHeight="1" thickBot="1">
      <c r="A104" s="12" t="s">
        <v>201</v>
      </c>
      <c r="B104" s="13">
        <v>45537</v>
      </c>
      <c r="C104" s="12" t="s">
        <v>451</v>
      </c>
      <c r="D104" s="12" t="s">
        <v>14</v>
      </c>
      <c r="E104" s="12" t="s">
        <v>691</v>
      </c>
      <c r="F104" s="12" t="s">
        <v>16</v>
      </c>
      <c r="G104" s="12" t="s">
        <v>17</v>
      </c>
      <c r="H104" s="14">
        <v>1</v>
      </c>
      <c r="I104" s="14">
        <v>249.99</v>
      </c>
      <c r="J104" s="12" t="s">
        <v>42</v>
      </c>
      <c r="K104" s="12" t="s">
        <v>32</v>
      </c>
      <c r="L104" s="12" t="s">
        <v>23</v>
      </c>
      <c r="M104" s="13">
        <v>45332</v>
      </c>
      <c r="N104" s="17">
        <v>249.99</v>
      </c>
      <c r="O104" s="18">
        <f t="shared" ca="1" si="5"/>
        <v>2</v>
      </c>
      <c r="P104" s="19">
        <f t="shared" si="6"/>
        <v>45565</v>
      </c>
      <c r="X104" s="25" t="str">
        <f t="shared" si="7"/>
        <v>ELE</v>
      </c>
      <c r="Y104" s="25" t="str">
        <f t="shared" si="8"/>
        <v>PREM.</v>
      </c>
    </row>
    <row r="105" spans="1:25" ht="17.5" customHeight="1" thickBot="1">
      <c r="A105" s="12" t="s">
        <v>202</v>
      </c>
      <c r="B105" s="13">
        <v>45538</v>
      </c>
      <c r="C105" s="12" t="s">
        <v>452</v>
      </c>
      <c r="D105" s="12" t="s">
        <v>89</v>
      </c>
      <c r="E105" s="12" t="s">
        <v>692</v>
      </c>
      <c r="F105" s="12" t="s">
        <v>53</v>
      </c>
      <c r="G105" s="12" t="s">
        <v>17</v>
      </c>
      <c r="H105" s="14">
        <v>2</v>
      </c>
      <c r="I105" s="14">
        <v>699.99</v>
      </c>
      <c r="J105" s="12" t="s">
        <v>42</v>
      </c>
      <c r="K105" s="12" t="s">
        <v>19</v>
      </c>
      <c r="L105" s="12" t="s">
        <v>23</v>
      </c>
      <c r="M105" s="13">
        <v>44870</v>
      </c>
      <c r="N105" s="17">
        <v>1399.98</v>
      </c>
      <c r="O105" s="18">
        <f t="shared" ca="1" si="5"/>
        <v>3</v>
      </c>
      <c r="P105" s="19">
        <f t="shared" si="6"/>
        <v>45565</v>
      </c>
      <c r="X105" s="25" t="str">
        <f t="shared" si="7"/>
        <v>ELE</v>
      </c>
      <c r="Y105" s="25" t="str">
        <f t="shared" si="8"/>
        <v>PREM.</v>
      </c>
    </row>
    <row r="106" spans="1:25" ht="17.5" customHeight="1" thickBot="1">
      <c r="A106" s="12" t="s">
        <v>203</v>
      </c>
      <c r="B106" s="13">
        <v>45541</v>
      </c>
      <c r="C106" s="12" t="s">
        <v>453</v>
      </c>
      <c r="D106" s="12" t="s">
        <v>75</v>
      </c>
      <c r="E106" s="12" t="s">
        <v>693</v>
      </c>
      <c r="F106" s="12" t="s">
        <v>26</v>
      </c>
      <c r="G106" s="12" t="s">
        <v>27</v>
      </c>
      <c r="H106" s="14">
        <v>3</v>
      </c>
      <c r="I106" s="14">
        <v>59.99</v>
      </c>
      <c r="J106" s="12" t="s">
        <v>22</v>
      </c>
      <c r="K106" s="12" t="s">
        <v>19</v>
      </c>
      <c r="L106" s="12" t="s">
        <v>23</v>
      </c>
      <c r="M106" s="13">
        <v>44717</v>
      </c>
      <c r="N106" s="17">
        <v>179.97</v>
      </c>
      <c r="O106" s="18">
        <f t="shared" ca="1" si="5"/>
        <v>3</v>
      </c>
      <c r="P106" s="19">
        <f t="shared" si="6"/>
        <v>45565</v>
      </c>
      <c r="X106" s="25" t="str">
        <f t="shared" si="7"/>
        <v>APP</v>
      </c>
      <c r="Y106" s="25" t="str">
        <f t="shared" si="8"/>
        <v>PREM.</v>
      </c>
    </row>
    <row r="107" spans="1:25" ht="17.5" customHeight="1" thickBot="1">
      <c r="A107" s="12" t="s">
        <v>204</v>
      </c>
      <c r="B107" s="13">
        <v>45544</v>
      </c>
      <c r="C107" s="12" t="s">
        <v>454</v>
      </c>
      <c r="D107" s="12" t="s">
        <v>74</v>
      </c>
      <c r="E107" s="12" t="s">
        <v>694</v>
      </c>
      <c r="F107" s="12" t="s">
        <v>26</v>
      </c>
      <c r="G107" s="12" t="s">
        <v>27</v>
      </c>
      <c r="H107" s="14">
        <v>3</v>
      </c>
      <c r="I107" s="14">
        <v>59.99</v>
      </c>
      <c r="J107" s="12" t="s">
        <v>28</v>
      </c>
      <c r="K107" s="12" t="s">
        <v>46</v>
      </c>
      <c r="L107" s="12" t="s">
        <v>30</v>
      </c>
      <c r="M107" s="13">
        <v>44748</v>
      </c>
      <c r="N107" s="17">
        <v>179.97</v>
      </c>
      <c r="O107" s="18">
        <f t="shared" ca="1" si="5"/>
        <v>3</v>
      </c>
      <c r="P107" s="19">
        <f t="shared" si="6"/>
        <v>45565</v>
      </c>
      <c r="X107" s="25" t="str">
        <f t="shared" si="7"/>
        <v>APP</v>
      </c>
      <c r="Y107" s="25" t="str">
        <f t="shared" si="8"/>
        <v>STD.</v>
      </c>
    </row>
    <row r="108" spans="1:25" ht="17.5" customHeight="1" thickBot="1">
      <c r="A108" s="12" t="s">
        <v>205</v>
      </c>
      <c r="B108" s="13">
        <v>45544</v>
      </c>
      <c r="C108" s="12" t="s">
        <v>455</v>
      </c>
      <c r="D108" s="12" t="s">
        <v>76</v>
      </c>
      <c r="E108" s="12" t="s">
        <v>695</v>
      </c>
      <c r="F108" s="12" t="s">
        <v>66</v>
      </c>
      <c r="G108" s="12" t="s">
        <v>27</v>
      </c>
      <c r="H108" s="14">
        <v>4</v>
      </c>
      <c r="I108" s="14">
        <v>79.989999999999995</v>
      </c>
      <c r="J108" s="12" t="s">
        <v>18</v>
      </c>
      <c r="K108" s="12" t="s">
        <v>32</v>
      </c>
      <c r="L108" s="12" t="s">
        <v>20</v>
      </c>
      <c r="M108" s="13">
        <v>44530</v>
      </c>
      <c r="N108" s="17">
        <v>319.95999999999998</v>
      </c>
      <c r="O108" s="18">
        <f t="shared" ca="1" si="5"/>
        <v>4</v>
      </c>
      <c r="P108" s="19">
        <f t="shared" si="6"/>
        <v>45565</v>
      </c>
      <c r="X108" s="25" t="str">
        <f t="shared" si="7"/>
        <v>APP</v>
      </c>
      <c r="Y108" s="25" t="str">
        <f t="shared" si="8"/>
        <v>BAS.</v>
      </c>
    </row>
    <row r="109" spans="1:25" ht="17.5" customHeight="1" thickBot="1">
      <c r="A109" s="12" t="s">
        <v>206</v>
      </c>
      <c r="B109" s="13">
        <v>45545</v>
      </c>
      <c r="C109" s="12" t="s">
        <v>456</v>
      </c>
      <c r="D109" s="12" t="s">
        <v>41</v>
      </c>
      <c r="E109" s="12" t="s">
        <v>696</v>
      </c>
      <c r="F109" s="12" t="s">
        <v>66</v>
      </c>
      <c r="G109" s="12" t="s">
        <v>27</v>
      </c>
      <c r="H109" s="14">
        <v>1</v>
      </c>
      <c r="I109" s="14">
        <v>79.989999999999995</v>
      </c>
      <c r="J109" s="12" t="s">
        <v>18</v>
      </c>
      <c r="K109" s="12" t="s">
        <v>38</v>
      </c>
      <c r="L109" s="12" t="s">
        <v>20</v>
      </c>
      <c r="M109" s="13">
        <v>44693</v>
      </c>
      <c r="N109" s="17">
        <v>79.989999999999995</v>
      </c>
      <c r="O109" s="18">
        <f t="shared" ca="1" si="5"/>
        <v>3</v>
      </c>
      <c r="P109" s="19">
        <f t="shared" si="6"/>
        <v>45565</v>
      </c>
      <c r="X109" s="25" t="str">
        <f t="shared" si="7"/>
        <v>APP</v>
      </c>
      <c r="Y109" s="25" t="str">
        <f t="shared" si="8"/>
        <v>BAS.</v>
      </c>
    </row>
    <row r="110" spans="1:25" ht="17.5" customHeight="1" thickBot="1">
      <c r="A110" s="12" t="s">
        <v>207</v>
      </c>
      <c r="B110" s="13">
        <v>45547</v>
      </c>
      <c r="C110" s="12" t="s">
        <v>457</v>
      </c>
      <c r="D110" s="12" t="s">
        <v>37</v>
      </c>
      <c r="E110" s="12" t="s">
        <v>697</v>
      </c>
      <c r="F110" s="12" t="s">
        <v>62</v>
      </c>
      <c r="G110" s="12" t="s">
        <v>36</v>
      </c>
      <c r="H110" s="14">
        <v>3</v>
      </c>
      <c r="I110" s="14">
        <v>299.99</v>
      </c>
      <c r="J110" s="12" t="s">
        <v>22</v>
      </c>
      <c r="K110" s="12" t="s">
        <v>19</v>
      </c>
      <c r="L110" s="12" t="s">
        <v>23</v>
      </c>
      <c r="M110" s="13">
        <v>44494</v>
      </c>
      <c r="N110" s="17">
        <v>899.97</v>
      </c>
      <c r="O110" s="18">
        <f t="shared" ca="1" si="5"/>
        <v>4</v>
      </c>
      <c r="P110" s="19">
        <f t="shared" si="6"/>
        <v>45565</v>
      </c>
      <c r="X110" s="25" t="str">
        <f t="shared" si="7"/>
        <v>FUR</v>
      </c>
      <c r="Y110" s="25" t="str">
        <f t="shared" si="8"/>
        <v>PREM.</v>
      </c>
    </row>
    <row r="111" spans="1:25" ht="17.5" customHeight="1" thickBot="1">
      <c r="A111" s="12" t="s">
        <v>208</v>
      </c>
      <c r="B111" s="13">
        <v>45548</v>
      </c>
      <c r="C111" s="12" t="s">
        <v>458</v>
      </c>
      <c r="D111" s="12" t="s">
        <v>31</v>
      </c>
      <c r="E111" s="12" t="s">
        <v>698</v>
      </c>
      <c r="F111" s="12" t="s">
        <v>68</v>
      </c>
      <c r="G111" s="12" t="s">
        <v>17</v>
      </c>
      <c r="H111" s="14">
        <v>2</v>
      </c>
      <c r="I111" s="14">
        <v>89.99</v>
      </c>
      <c r="J111" s="12" t="s">
        <v>22</v>
      </c>
      <c r="K111" s="12" t="s">
        <v>29</v>
      </c>
      <c r="L111" s="12" t="s">
        <v>23</v>
      </c>
      <c r="M111" s="13">
        <v>44641</v>
      </c>
      <c r="N111" s="17">
        <v>179.98</v>
      </c>
      <c r="O111" s="18">
        <f t="shared" ca="1" si="5"/>
        <v>3</v>
      </c>
      <c r="P111" s="19">
        <f t="shared" si="6"/>
        <v>45565</v>
      </c>
      <c r="X111" s="25" t="str">
        <f t="shared" si="7"/>
        <v>ELE</v>
      </c>
      <c r="Y111" s="25" t="str">
        <f t="shared" si="8"/>
        <v>PREM.</v>
      </c>
    </row>
    <row r="112" spans="1:25" ht="17.5" customHeight="1" thickBot="1">
      <c r="A112" s="12" t="s">
        <v>209</v>
      </c>
      <c r="B112" s="13">
        <v>45550</v>
      </c>
      <c r="C112" s="12" t="s">
        <v>459</v>
      </c>
      <c r="D112" s="12" t="s">
        <v>92</v>
      </c>
      <c r="E112" s="12" t="s">
        <v>699</v>
      </c>
      <c r="F112" s="12" t="s">
        <v>40</v>
      </c>
      <c r="G112" s="12" t="s">
        <v>17</v>
      </c>
      <c r="H112" s="14">
        <v>4</v>
      </c>
      <c r="I112" s="14">
        <v>149.99</v>
      </c>
      <c r="J112" s="12" t="s">
        <v>18</v>
      </c>
      <c r="K112" s="12" t="s">
        <v>32</v>
      </c>
      <c r="L112" s="12" t="s">
        <v>20</v>
      </c>
      <c r="M112" s="13">
        <v>44909</v>
      </c>
      <c r="N112" s="17">
        <v>599.96</v>
      </c>
      <c r="O112" s="18">
        <f t="shared" ca="1" si="5"/>
        <v>3</v>
      </c>
      <c r="P112" s="19">
        <f t="shared" si="6"/>
        <v>45565</v>
      </c>
      <c r="X112" s="25" t="str">
        <f t="shared" si="7"/>
        <v>ELE</v>
      </c>
      <c r="Y112" s="25" t="str">
        <f t="shared" si="8"/>
        <v>BAS.</v>
      </c>
    </row>
    <row r="113" spans="1:25" ht="17.5" customHeight="1" thickBot="1">
      <c r="A113" s="12" t="s">
        <v>210</v>
      </c>
      <c r="B113" s="13">
        <v>45551</v>
      </c>
      <c r="C113" s="12" t="s">
        <v>460</v>
      </c>
      <c r="D113" s="12" t="s">
        <v>47</v>
      </c>
      <c r="E113" s="12" t="s">
        <v>700</v>
      </c>
      <c r="F113" s="12" t="s">
        <v>16</v>
      </c>
      <c r="G113" s="12" t="s">
        <v>17</v>
      </c>
      <c r="H113" s="14">
        <v>2</v>
      </c>
      <c r="I113" s="14">
        <v>249.99</v>
      </c>
      <c r="J113" s="12" t="s">
        <v>28</v>
      </c>
      <c r="K113" s="12" t="s">
        <v>29</v>
      </c>
      <c r="L113" s="12" t="s">
        <v>20</v>
      </c>
      <c r="M113" s="13">
        <v>44993</v>
      </c>
      <c r="N113" s="17">
        <v>499.98</v>
      </c>
      <c r="O113" s="18">
        <f t="shared" ca="1" si="5"/>
        <v>2</v>
      </c>
      <c r="P113" s="19">
        <f t="shared" si="6"/>
        <v>45565</v>
      </c>
      <c r="X113" s="25" t="str">
        <f t="shared" si="7"/>
        <v>ELE</v>
      </c>
      <c r="Y113" s="25" t="str">
        <f t="shared" si="8"/>
        <v>BAS.</v>
      </c>
    </row>
    <row r="114" spans="1:25" ht="17.5" customHeight="1" thickBot="1">
      <c r="A114" s="12" t="s">
        <v>211</v>
      </c>
      <c r="B114" s="13">
        <v>45551</v>
      </c>
      <c r="C114" s="12" t="s">
        <v>461</v>
      </c>
      <c r="D114" s="12" t="s">
        <v>80</v>
      </c>
      <c r="E114" s="12" t="s">
        <v>701</v>
      </c>
      <c r="F114" s="12" t="s">
        <v>72</v>
      </c>
      <c r="G114" s="12" t="s">
        <v>36</v>
      </c>
      <c r="H114" s="14">
        <v>4</v>
      </c>
      <c r="I114" s="14">
        <v>199.99</v>
      </c>
      <c r="J114" s="12" t="s">
        <v>42</v>
      </c>
      <c r="K114" s="12" t="s">
        <v>46</v>
      </c>
      <c r="L114" s="12" t="s">
        <v>20</v>
      </c>
      <c r="M114" s="13">
        <v>44458</v>
      </c>
      <c r="N114" s="17">
        <v>799.96</v>
      </c>
      <c r="O114" s="18">
        <f t="shared" ca="1" si="5"/>
        <v>4</v>
      </c>
      <c r="P114" s="19">
        <f t="shared" si="6"/>
        <v>45565</v>
      </c>
      <c r="X114" s="25" t="str">
        <f t="shared" si="7"/>
        <v>FUR</v>
      </c>
      <c r="Y114" s="25" t="str">
        <f t="shared" si="8"/>
        <v>BAS.</v>
      </c>
    </row>
    <row r="115" spans="1:25" ht="17.5" customHeight="1" thickBot="1">
      <c r="A115" s="12" t="s">
        <v>212</v>
      </c>
      <c r="B115" s="13">
        <v>45554</v>
      </c>
      <c r="C115" s="12" t="s">
        <v>462</v>
      </c>
      <c r="D115" s="12" t="s">
        <v>78</v>
      </c>
      <c r="E115" s="12" t="s">
        <v>702</v>
      </c>
      <c r="F115" s="12" t="s">
        <v>68</v>
      </c>
      <c r="G115" s="12" t="s">
        <v>17</v>
      </c>
      <c r="H115" s="14">
        <v>5</v>
      </c>
      <c r="I115" s="14">
        <v>89.99</v>
      </c>
      <c r="J115" s="12" t="s">
        <v>22</v>
      </c>
      <c r="K115" s="12" t="s">
        <v>46</v>
      </c>
      <c r="L115" s="12" t="s">
        <v>23</v>
      </c>
      <c r="M115" s="13">
        <v>44446</v>
      </c>
      <c r="N115" s="17">
        <v>449.95</v>
      </c>
      <c r="O115" s="18">
        <f t="shared" ca="1" si="5"/>
        <v>4</v>
      </c>
      <c r="P115" s="19">
        <f t="shared" si="6"/>
        <v>45565</v>
      </c>
      <c r="X115" s="25" t="str">
        <f t="shared" si="7"/>
        <v>ELE</v>
      </c>
      <c r="Y115" s="25" t="str">
        <f t="shared" si="8"/>
        <v>PREM.</v>
      </c>
    </row>
    <row r="116" spans="1:25" ht="17.5" customHeight="1" thickBot="1">
      <c r="A116" s="12" t="s">
        <v>213</v>
      </c>
      <c r="B116" s="13">
        <v>45554</v>
      </c>
      <c r="C116" s="12" t="s">
        <v>463</v>
      </c>
      <c r="D116" s="12" t="s">
        <v>93</v>
      </c>
      <c r="E116" s="12" t="s">
        <v>703</v>
      </c>
      <c r="F116" s="12" t="s">
        <v>40</v>
      </c>
      <c r="G116" s="12" t="s">
        <v>17</v>
      </c>
      <c r="H116" s="14">
        <v>1</v>
      </c>
      <c r="I116" s="14">
        <v>149.99</v>
      </c>
      <c r="J116" s="12" t="s">
        <v>28</v>
      </c>
      <c r="K116" s="12" t="s">
        <v>46</v>
      </c>
      <c r="L116" s="12" t="s">
        <v>30</v>
      </c>
      <c r="M116" s="13">
        <v>44482</v>
      </c>
      <c r="N116" s="17">
        <v>149.99</v>
      </c>
      <c r="O116" s="18">
        <f t="shared" ca="1" si="5"/>
        <v>4</v>
      </c>
      <c r="P116" s="19">
        <f t="shared" si="6"/>
        <v>45565</v>
      </c>
      <c r="X116" s="25" t="str">
        <f t="shared" si="7"/>
        <v>ELE</v>
      </c>
      <c r="Y116" s="25" t="str">
        <f t="shared" si="8"/>
        <v>STD.</v>
      </c>
    </row>
    <row r="117" spans="1:25" ht="17.5" customHeight="1" thickBot="1">
      <c r="A117" s="12" t="s">
        <v>214</v>
      </c>
      <c r="B117" s="13">
        <v>45554</v>
      </c>
      <c r="C117" s="12" t="s">
        <v>464</v>
      </c>
      <c r="D117" s="12" t="s">
        <v>49</v>
      </c>
      <c r="E117" s="12" t="s">
        <v>704</v>
      </c>
      <c r="F117" s="12" t="s">
        <v>53</v>
      </c>
      <c r="G117" s="12" t="s">
        <v>17</v>
      </c>
      <c r="H117" s="14">
        <v>4</v>
      </c>
      <c r="I117" s="14">
        <v>699.99</v>
      </c>
      <c r="J117" s="12" t="s">
        <v>28</v>
      </c>
      <c r="K117" s="12" t="s">
        <v>29</v>
      </c>
      <c r="L117" s="12" t="s">
        <v>20</v>
      </c>
      <c r="M117" s="13">
        <v>44618</v>
      </c>
      <c r="N117" s="17">
        <v>2799.96</v>
      </c>
      <c r="O117" s="18">
        <f t="shared" ca="1" si="5"/>
        <v>3</v>
      </c>
      <c r="P117" s="19">
        <f t="shared" si="6"/>
        <v>45565</v>
      </c>
      <c r="X117" s="25" t="str">
        <f t="shared" si="7"/>
        <v>ELE</v>
      </c>
      <c r="Y117" s="25" t="str">
        <f t="shared" si="8"/>
        <v>BAS.</v>
      </c>
    </row>
    <row r="118" spans="1:25" ht="17.5" customHeight="1" thickBot="1">
      <c r="A118" s="12" t="s">
        <v>215</v>
      </c>
      <c r="B118" s="13">
        <v>45559</v>
      </c>
      <c r="C118" s="12" t="s">
        <v>465</v>
      </c>
      <c r="D118" s="12" t="s">
        <v>91</v>
      </c>
      <c r="E118" s="12" t="s">
        <v>705</v>
      </c>
      <c r="F118" s="12" t="s">
        <v>45</v>
      </c>
      <c r="G118" s="12" t="s">
        <v>17</v>
      </c>
      <c r="H118" s="14">
        <v>3</v>
      </c>
      <c r="I118" s="14">
        <v>899.99</v>
      </c>
      <c r="J118" s="12" t="s">
        <v>22</v>
      </c>
      <c r="K118" s="12" t="s">
        <v>32</v>
      </c>
      <c r="L118" s="12" t="s">
        <v>30</v>
      </c>
      <c r="M118" s="13">
        <v>45157</v>
      </c>
      <c r="N118" s="17">
        <v>2699.97</v>
      </c>
      <c r="O118" s="18">
        <f t="shared" ca="1" si="5"/>
        <v>2</v>
      </c>
      <c r="P118" s="19">
        <f t="shared" si="6"/>
        <v>45565</v>
      </c>
      <c r="X118" s="25" t="str">
        <f t="shared" si="7"/>
        <v>ELE</v>
      </c>
      <c r="Y118" s="25" t="str">
        <f t="shared" si="8"/>
        <v>STD.</v>
      </c>
    </row>
    <row r="119" spans="1:25" ht="17.5" customHeight="1" thickBot="1">
      <c r="A119" s="12" t="s">
        <v>216</v>
      </c>
      <c r="B119" s="13">
        <v>45560</v>
      </c>
      <c r="C119" s="12" t="s">
        <v>466</v>
      </c>
      <c r="D119" s="12" t="s">
        <v>64</v>
      </c>
      <c r="E119" s="12" t="s">
        <v>706</v>
      </c>
      <c r="F119" s="12" t="s">
        <v>35</v>
      </c>
      <c r="G119" s="12" t="s">
        <v>36</v>
      </c>
      <c r="H119" s="14">
        <v>3</v>
      </c>
      <c r="I119" s="14">
        <v>149.99</v>
      </c>
      <c r="J119" s="12" t="s">
        <v>28</v>
      </c>
      <c r="K119" s="12" t="s">
        <v>46</v>
      </c>
      <c r="L119" s="12" t="s">
        <v>20</v>
      </c>
      <c r="M119" s="13">
        <v>44886</v>
      </c>
      <c r="N119" s="17">
        <v>449.97</v>
      </c>
      <c r="O119" s="18">
        <f t="shared" ca="1" si="5"/>
        <v>3</v>
      </c>
      <c r="P119" s="19">
        <f t="shared" si="6"/>
        <v>45565</v>
      </c>
      <c r="X119" s="25" t="str">
        <f t="shared" si="7"/>
        <v>FUR</v>
      </c>
      <c r="Y119" s="25" t="str">
        <f t="shared" si="8"/>
        <v>BAS.</v>
      </c>
    </row>
    <row r="120" spans="1:25" ht="17.5" customHeight="1" thickBot="1">
      <c r="A120" s="12" t="s">
        <v>217</v>
      </c>
      <c r="B120" s="13">
        <v>45563</v>
      </c>
      <c r="C120" s="12" t="s">
        <v>467</v>
      </c>
      <c r="D120" s="12" t="s">
        <v>59</v>
      </c>
      <c r="E120" s="12" t="s">
        <v>707</v>
      </c>
      <c r="F120" s="12" t="s">
        <v>62</v>
      </c>
      <c r="G120" s="12" t="s">
        <v>36</v>
      </c>
      <c r="H120" s="14">
        <v>2</v>
      </c>
      <c r="I120" s="14">
        <v>299.99</v>
      </c>
      <c r="J120" s="12" t="s">
        <v>42</v>
      </c>
      <c r="K120" s="12" t="s">
        <v>19</v>
      </c>
      <c r="L120" s="12" t="s">
        <v>20</v>
      </c>
      <c r="M120" s="13">
        <v>44569</v>
      </c>
      <c r="N120" s="17">
        <v>599.98</v>
      </c>
      <c r="O120" s="18">
        <f t="shared" ca="1" si="5"/>
        <v>4</v>
      </c>
      <c r="P120" s="19">
        <f t="shared" si="6"/>
        <v>45565</v>
      </c>
      <c r="X120" s="25" t="str">
        <f t="shared" si="7"/>
        <v>FUR</v>
      </c>
      <c r="Y120" s="25" t="str">
        <f t="shared" si="8"/>
        <v>BAS.</v>
      </c>
    </row>
    <row r="121" spans="1:25" ht="17.5" customHeight="1" thickBot="1">
      <c r="A121" s="12" t="s">
        <v>218</v>
      </c>
      <c r="B121" s="13">
        <v>45564</v>
      </c>
      <c r="C121" s="12" t="s">
        <v>468</v>
      </c>
      <c r="D121" s="12" t="s">
        <v>94</v>
      </c>
      <c r="E121" s="12" t="s">
        <v>708</v>
      </c>
      <c r="F121" s="12" t="s">
        <v>72</v>
      </c>
      <c r="G121" s="12" t="s">
        <v>36</v>
      </c>
      <c r="H121" s="14">
        <v>1</v>
      </c>
      <c r="I121" s="14">
        <v>199.99</v>
      </c>
      <c r="J121" s="12" t="s">
        <v>42</v>
      </c>
      <c r="K121" s="12" t="s">
        <v>46</v>
      </c>
      <c r="L121" s="12" t="s">
        <v>30</v>
      </c>
      <c r="M121" s="13">
        <v>44953</v>
      </c>
      <c r="N121" s="17">
        <v>199.99</v>
      </c>
      <c r="O121" s="18">
        <f t="shared" ca="1" si="5"/>
        <v>3</v>
      </c>
      <c r="P121" s="19">
        <f t="shared" si="6"/>
        <v>45565</v>
      </c>
      <c r="X121" s="25" t="str">
        <f t="shared" si="7"/>
        <v>FUR</v>
      </c>
      <c r="Y121" s="25" t="str">
        <f t="shared" si="8"/>
        <v>STD.</v>
      </c>
    </row>
    <row r="122" spans="1:25" ht="17.5" customHeight="1" thickBot="1">
      <c r="A122" s="12" t="s">
        <v>219</v>
      </c>
      <c r="B122" s="13">
        <v>45566</v>
      </c>
      <c r="C122" s="12" t="s">
        <v>469</v>
      </c>
      <c r="D122" s="12" t="s">
        <v>33</v>
      </c>
      <c r="E122" s="12" t="s">
        <v>709</v>
      </c>
      <c r="F122" s="12" t="s">
        <v>62</v>
      </c>
      <c r="G122" s="12" t="s">
        <v>36</v>
      </c>
      <c r="H122" s="14">
        <v>4</v>
      </c>
      <c r="I122" s="14">
        <v>299.99</v>
      </c>
      <c r="J122" s="12" t="s">
        <v>18</v>
      </c>
      <c r="K122" s="12" t="s">
        <v>19</v>
      </c>
      <c r="L122" s="12" t="s">
        <v>23</v>
      </c>
      <c r="M122" s="13">
        <v>44460</v>
      </c>
      <c r="N122" s="17">
        <v>1199.96</v>
      </c>
      <c r="O122" s="18">
        <f t="shared" ca="1" si="5"/>
        <v>4</v>
      </c>
      <c r="P122" s="19">
        <f t="shared" si="6"/>
        <v>45596</v>
      </c>
      <c r="X122" s="25" t="str">
        <f t="shared" si="7"/>
        <v>FUR</v>
      </c>
      <c r="Y122" s="25" t="str">
        <f t="shared" si="8"/>
        <v>PREM.</v>
      </c>
    </row>
    <row r="123" spans="1:25" ht="17.5" customHeight="1" thickBot="1">
      <c r="A123" s="12" t="s">
        <v>220</v>
      </c>
      <c r="B123" s="13">
        <v>45572</v>
      </c>
      <c r="C123" s="12" t="s">
        <v>470</v>
      </c>
      <c r="D123" s="12" t="s">
        <v>56</v>
      </c>
      <c r="E123" s="12" t="s">
        <v>710</v>
      </c>
      <c r="F123" s="12" t="s">
        <v>26</v>
      </c>
      <c r="G123" s="12" t="s">
        <v>27</v>
      </c>
      <c r="H123" s="14">
        <v>2</v>
      </c>
      <c r="I123" s="14">
        <v>59.99</v>
      </c>
      <c r="J123" s="12" t="s">
        <v>22</v>
      </c>
      <c r="K123" s="12" t="s">
        <v>19</v>
      </c>
      <c r="L123" s="12" t="s">
        <v>20</v>
      </c>
      <c r="M123" s="13">
        <v>44579</v>
      </c>
      <c r="N123" s="17">
        <v>119.98</v>
      </c>
      <c r="O123" s="18">
        <f t="shared" ca="1" si="5"/>
        <v>4</v>
      </c>
      <c r="P123" s="19">
        <f t="shared" si="6"/>
        <v>45596</v>
      </c>
      <c r="X123" s="25" t="str">
        <f t="shared" si="7"/>
        <v>APP</v>
      </c>
      <c r="Y123" s="25" t="str">
        <f t="shared" si="8"/>
        <v>BAS.</v>
      </c>
    </row>
    <row r="124" spans="1:25" ht="17.5" customHeight="1" thickBot="1">
      <c r="A124" s="12" t="s">
        <v>221</v>
      </c>
      <c r="B124" s="13">
        <v>45572</v>
      </c>
      <c r="C124" s="12" t="s">
        <v>471</v>
      </c>
      <c r="D124" s="12" t="s">
        <v>91</v>
      </c>
      <c r="E124" s="12" t="s">
        <v>711</v>
      </c>
      <c r="F124" s="12" t="s">
        <v>40</v>
      </c>
      <c r="G124" s="12" t="s">
        <v>17</v>
      </c>
      <c r="H124" s="14">
        <v>4</v>
      </c>
      <c r="I124" s="14">
        <v>149.99</v>
      </c>
      <c r="J124" s="12" t="s">
        <v>22</v>
      </c>
      <c r="K124" s="12" t="s">
        <v>32</v>
      </c>
      <c r="L124" s="12" t="s">
        <v>23</v>
      </c>
      <c r="M124" s="13">
        <v>45076</v>
      </c>
      <c r="N124" s="17">
        <v>599.96</v>
      </c>
      <c r="O124" s="18">
        <f t="shared" ca="1" si="5"/>
        <v>2</v>
      </c>
      <c r="P124" s="19">
        <f t="shared" si="6"/>
        <v>45596</v>
      </c>
      <c r="X124" s="25" t="str">
        <f t="shared" si="7"/>
        <v>ELE</v>
      </c>
      <c r="Y124" s="25" t="str">
        <f t="shared" si="8"/>
        <v>PREM.</v>
      </c>
    </row>
    <row r="125" spans="1:25" ht="17.5" customHeight="1" thickBot="1">
      <c r="A125" s="12" t="s">
        <v>222</v>
      </c>
      <c r="B125" s="13">
        <v>45573</v>
      </c>
      <c r="C125" s="12" t="s">
        <v>472</v>
      </c>
      <c r="D125" s="12" t="s">
        <v>88</v>
      </c>
      <c r="E125" s="12" t="s">
        <v>712</v>
      </c>
      <c r="F125" s="12" t="s">
        <v>53</v>
      </c>
      <c r="G125" s="12" t="s">
        <v>17</v>
      </c>
      <c r="H125" s="14">
        <v>2</v>
      </c>
      <c r="I125" s="14">
        <v>699.99</v>
      </c>
      <c r="J125" s="12" t="s">
        <v>42</v>
      </c>
      <c r="K125" s="12" t="s">
        <v>46</v>
      </c>
      <c r="L125" s="12" t="s">
        <v>23</v>
      </c>
      <c r="M125" s="13">
        <v>45274</v>
      </c>
      <c r="N125" s="17">
        <v>1399.98</v>
      </c>
      <c r="O125" s="18">
        <f t="shared" ca="1" si="5"/>
        <v>2</v>
      </c>
      <c r="P125" s="19">
        <f t="shared" si="6"/>
        <v>45596</v>
      </c>
      <c r="X125" s="25" t="str">
        <f t="shared" si="7"/>
        <v>ELE</v>
      </c>
      <c r="Y125" s="25" t="str">
        <f t="shared" si="8"/>
        <v>PREM.</v>
      </c>
    </row>
    <row r="126" spans="1:25" ht="17.5" customHeight="1" thickBot="1">
      <c r="A126" s="12" t="s">
        <v>223</v>
      </c>
      <c r="B126" s="13">
        <v>45573</v>
      </c>
      <c r="C126" s="12" t="s">
        <v>473</v>
      </c>
      <c r="D126" s="12" t="s">
        <v>90</v>
      </c>
      <c r="E126" s="12" t="s">
        <v>713</v>
      </c>
      <c r="F126" s="12" t="s">
        <v>35</v>
      </c>
      <c r="G126" s="12" t="s">
        <v>36</v>
      </c>
      <c r="H126" s="14">
        <v>3</v>
      </c>
      <c r="I126" s="14">
        <v>149.99</v>
      </c>
      <c r="J126" s="12" t="s">
        <v>22</v>
      </c>
      <c r="K126" s="12" t="s">
        <v>29</v>
      </c>
      <c r="L126" s="12" t="s">
        <v>30</v>
      </c>
      <c r="M126" s="13">
        <v>44940</v>
      </c>
      <c r="N126" s="17">
        <v>449.97</v>
      </c>
      <c r="O126" s="18">
        <f t="shared" ca="1" si="5"/>
        <v>3</v>
      </c>
      <c r="P126" s="19">
        <f t="shared" si="6"/>
        <v>45596</v>
      </c>
      <c r="X126" s="25" t="str">
        <f t="shared" si="7"/>
        <v>FUR</v>
      </c>
      <c r="Y126" s="25" t="str">
        <f t="shared" si="8"/>
        <v>STD.</v>
      </c>
    </row>
    <row r="127" spans="1:25" ht="17.5" customHeight="1" thickBot="1">
      <c r="A127" s="12" t="s">
        <v>224</v>
      </c>
      <c r="B127" s="13">
        <v>45576</v>
      </c>
      <c r="C127" s="12" t="s">
        <v>474</v>
      </c>
      <c r="D127" s="12" t="s">
        <v>78</v>
      </c>
      <c r="E127" s="12" t="s">
        <v>714</v>
      </c>
      <c r="F127" s="12" t="s">
        <v>62</v>
      </c>
      <c r="G127" s="12" t="s">
        <v>36</v>
      </c>
      <c r="H127" s="14">
        <v>3</v>
      </c>
      <c r="I127" s="14">
        <v>299.99</v>
      </c>
      <c r="J127" s="12" t="s">
        <v>22</v>
      </c>
      <c r="K127" s="12" t="s">
        <v>19</v>
      </c>
      <c r="L127" s="12" t="s">
        <v>30</v>
      </c>
      <c r="M127" s="13">
        <v>45174</v>
      </c>
      <c r="N127" s="17">
        <v>899.97</v>
      </c>
      <c r="O127" s="18">
        <f t="shared" ca="1" si="5"/>
        <v>2</v>
      </c>
      <c r="P127" s="19">
        <f t="shared" si="6"/>
        <v>45596</v>
      </c>
      <c r="X127" s="25" t="str">
        <f t="shared" si="7"/>
        <v>FUR</v>
      </c>
      <c r="Y127" s="25" t="str">
        <f t="shared" si="8"/>
        <v>STD.</v>
      </c>
    </row>
    <row r="128" spans="1:25" ht="17.5" customHeight="1" thickBot="1">
      <c r="A128" s="12" t="s">
        <v>225</v>
      </c>
      <c r="B128" s="13">
        <v>45579</v>
      </c>
      <c r="C128" s="12" t="s">
        <v>475</v>
      </c>
      <c r="D128" s="12" t="s">
        <v>54</v>
      </c>
      <c r="E128" s="12" t="s">
        <v>715</v>
      </c>
      <c r="F128" s="12" t="s">
        <v>45</v>
      </c>
      <c r="G128" s="12" t="s">
        <v>17</v>
      </c>
      <c r="H128" s="14">
        <v>3</v>
      </c>
      <c r="I128" s="14">
        <v>899.99</v>
      </c>
      <c r="J128" s="12" t="s">
        <v>28</v>
      </c>
      <c r="K128" s="12" t="s">
        <v>38</v>
      </c>
      <c r="L128" s="12" t="s">
        <v>20</v>
      </c>
      <c r="M128" s="13">
        <v>45215</v>
      </c>
      <c r="N128" s="17">
        <v>2699.97</v>
      </c>
      <c r="O128" s="18">
        <f t="shared" ca="1" si="5"/>
        <v>2</v>
      </c>
      <c r="P128" s="19">
        <f t="shared" si="6"/>
        <v>45596</v>
      </c>
      <c r="X128" s="25" t="str">
        <f t="shared" si="7"/>
        <v>ELE</v>
      </c>
      <c r="Y128" s="25" t="str">
        <f t="shared" si="8"/>
        <v>BAS.</v>
      </c>
    </row>
    <row r="129" spans="1:25" ht="17.5" customHeight="1" thickBot="1">
      <c r="A129" s="12" t="s">
        <v>226</v>
      </c>
      <c r="B129" s="13">
        <v>45581</v>
      </c>
      <c r="C129" s="12" t="s">
        <v>476</v>
      </c>
      <c r="D129" s="12" t="s">
        <v>58</v>
      </c>
      <c r="E129" s="12" t="s">
        <v>716</v>
      </c>
      <c r="F129" s="12" t="s">
        <v>53</v>
      </c>
      <c r="G129" s="12" t="s">
        <v>17</v>
      </c>
      <c r="H129" s="14">
        <v>5</v>
      </c>
      <c r="I129" s="14">
        <v>699.99</v>
      </c>
      <c r="J129" s="12" t="s">
        <v>18</v>
      </c>
      <c r="K129" s="12" t="s">
        <v>46</v>
      </c>
      <c r="L129" s="12" t="s">
        <v>30</v>
      </c>
      <c r="M129" s="13">
        <v>45008</v>
      </c>
      <c r="N129" s="17">
        <v>3499.95</v>
      </c>
      <c r="O129" s="18">
        <f t="shared" ca="1" si="5"/>
        <v>2</v>
      </c>
      <c r="P129" s="19">
        <f t="shared" si="6"/>
        <v>45596</v>
      </c>
      <c r="X129" s="25" t="str">
        <f t="shared" si="7"/>
        <v>ELE</v>
      </c>
      <c r="Y129" s="25" t="str">
        <f t="shared" si="8"/>
        <v>STD.</v>
      </c>
    </row>
    <row r="130" spans="1:25" ht="17.5" customHeight="1" thickBot="1">
      <c r="A130" s="12" t="s">
        <v>227</v>
      </c>
      <c r="B130" s="13">
        <v>45581</v>
      </c>
      <c r="C130" s="12" t="s">
        <v>477</v>
      </c>
      <c r="D130" s="12" t="s">
        <v>83</v>
      </c>
      <c r="E130" s="12" t="s">
        <v>717</v>
      </c>
      <c r="F130" s="12" t="s">
        <v>53</v>
      </c>
      <c r="G130" s="12" t="s">
        <v>17</v>
      </c>
      <c r="H130" s="14">
        <v>4</v>
      </c>
      <c r="I130" s="14">
        <v>699.99</v>
      </c>
      <c r="J130" s="12" t="s">
        <v>22</v>
      </c>
      <c r="K130" s="12" t="s">
        <v>19</v>
      </c>
      <c r="L130" s="12" t="s">
        <v>20</v>
      </c>
      <c r="M130" s="13">
        <v>45385</v>
      </c>
      <c r="N130" s="17">
        <v>2799.96</v>
      </c>
      <c r="O130" s="18">
        <f t="shared" ca="1" si="5"/>
        <v>1</v>
      </c>
      <c r="P130" s="19">
        <f t="shared" si="6"/>
        <v>45596</v>
      </c>
      <c r="X130" s="25" t="str">
        <f t="shared" si="7"/>
        <v>ELE</v>
      </c>
      <c r="Y130" s="25" t="str">
        <f t="shared" si="8"/>
        <v>BAS.</v>
      </c>
    </row>
    <row r="131" spans="1:25" ht="17.5" customHeight="1" thickBot="1">
      <c r="A131" s="12" t="s">
        <v>228</v>
      </c>
      <c r="B131" s="13">
        <v>45581</v>
      </c>
      <c r="C131" s="12" t="s">
        <v>478</v>
      </c>
      <c r="D131" s="12" t="s">
        <v>79</v>
      </c>
      <c r="E131" s="12" t="s">
        <v>718</v>
      </c>
      <c r="F131" s="12" t="s">
        <v>45</v>
      </c>
      <c r="G131" s="12" t="s">
        <v>17</v>
      </c>
      <c r="H131" s="14">
        <v>1</v>
      </c>
      <c r="I131" s="14">
        <v>899.99</v>
      </c>
      <c r="J131" s="12" t="s">
        <v>22</v>
      </c>
      <c r="K131" s="12" t="s">
        <v>46</v>
      </c>
      <c r="L131" s="12" t="s">
        <v>30</v>
      </c>
      <c r="M131" s="13">
        <v>45369</v>
      </c>
      <c r="N131" s="17">
        <v>899.99</v>
      </c>
      <c r="O131" s="18">
        <f t="shared" ref="O131:O194" ca="1" si="9">DATEDIF(M131, TODAY(), "Y")</f>
        <v>1</v>
      </c>
      <c r="P131" s="19">
        <f t="shared" ref="P131:P194" si="10">EOMONTH(B131, 0)</f>
        <v>45596</v>
      </c>
      <c r="X131" s="25" t="str">
        <f t="shared" ref="X131:X194" si="11">UPPER(LEFT(G131, 3))</f>
        <v>ELE</v>
      </c>
      <c r="Y131" s="25" t="str">
        <f t="shared" ref="Y131:Y194" si="12">IF(L131="Premium", "PREM.", IF(L131="Standard", "STD.", "BAS."))</f>
        <v>STD.</v>
      </c>
    </row>
    <row r="132" spans="1:25" ht="17.5" customHeight="1" thickBot="1">
      <c r="A132" s="12" t="s">
        <v>229</v>
      </c>
      <c r="B132" s="13">
        <v>45583</v>
      </c>
      <c r="C132" s="12" t="s">
        <v>479</v>
      </c>
      <c r="D132" s="12" t="s">
        <v>89</v>
      </c>
      <c r="E132" s="12" t="s">
        <v>719</v>
      </c>
      <c r="F132" s="12" t="s">
        <v>40</v>
      </c>
      <c r="G132" s="12" t="s">
        <v>17</v>
      </c>
      <c r="H132" s="14">
        <v>2</v>
      </c>
      <c r="I132" s="14">
        <v>149.99</v>
      </c>
      <c r="J132" s="12" t="s">
        <v>22</v>
      </c>
      <c r="K132" s="12" t="s">
        <v>38</v>
      </c>
      <c r="L132" s="12" t="s">
        <v>20</v>
      </c>
      <c r="M132" s="13">
        <v>44916</v>
      </c>
      <c r="N132" s="17">
        <v>299.98</v>
      </c>
      <c r="O132" s="18">
        <f t="shared" ca="1" si="9"/>
        <v>3</v>
      </c>
      <c r="P132" s="19">
        <f t="shared" si="10"/>
        <v>45596</v>
      </c>
      <c r="X132" s="25" t="str">
        <f t="shared" si="11"/>
        <v>ELE</v>
      </c>
      <c r="Y132" s="25" t="str">
        <f t="shared" si="12"/>
        <v>BAS.</v>
      </c>
    </row>
    <row r="133" spans="1:25" ht="17.5" customHeight="1" thickBot="1">
      <c r="A133" s="12" t="s">
        <v>230</v>
      </c>
      <c r="B133" s="13">
        <v>45586</v>
      </c>
      <c r="C133" s="12" t="s">
        <v>480</v>
      </c>
      <c r="D133" s="12" t="s">
        <v>89</v>
      </c>
      <c r="E133" s="12" t="s">
        <v>720</v>
      </c>
      <c r="F133" s="12" t="s">
        <v>68</v>
      </c>
      <c r="G133" s="12" t="s">
        <v>17</v>
      </c>
      <c r="H133" s="14">
        <v>3</v>
      </c>
      <c r="I133" s="14">
        <v>89.99</v>
      </c>
      <c r="J133" s="12" t="s">
        <v>28</v>
      </c>
      <c r="K133" s="12" t="s">
        <v>19</v>
      </c>
      <c r="L133" s="12" t="s">
        <v>20</v>
      </c>
      <c r="M133" s="13">
        <v>44551</v>
      </c>
      <c r="N133" s="17">
        <v>269.97000000000003</v>
      </c>
      <c r="O133" s="18">
        <f t="shared" ca="1" si="9"/>
        <v>4</v>
      </c>
      <c r="P133" s="19">
        <f t="shared" si="10"/>
        <v>45596</v>
      </c>
      <c r="X133" s="25" t="str">
        <f t="shared" si="11"/>
        <v>ELE</v>
      </c>
      <c r="Y133" s="25" t="str">
        <f t="shared" si="12"/>
        <v>BAS.</v>
      </c>
    </row>
    <row r="134" spans="1:25" ht="17.5" customHeight="1" thickBot="1">
      <c r="A134" s="12" t="s">
        <v>231</v>
      </c>
      <c r="B134" s="13">
        <v>45588</v>
      </c>
      <c r="C134" s="12" t="s">
        <v>481</v>
      </c>
      <c r="D134" s="12" t="s">
        <v>31</v>
      </c>
      <c r="E134" s="12" t="s">
        <v>721</v>
      </c>
      <c r="F134" s="12" t="s">
        <v>40</v>
      </c>
      <c r="G134" s="12" t="s">
        <v>17</v>
      </c>
      <c r="H134" s="14">
        <v>2</v>
      </c>
      <c r="I134" s="14">
        <v>149.99</v>
      </c>
      <c r="J134" s="12" t="s">
        <v>28</v>
      </c>
      <c r="K134" s="12" t="s">
        <v>19</v>
      </c>
      <c r="L134" s="12" t="s">
        <v>20</v>
      </c>
      <c r="M134" s="13">
        <v>44473</v>
      </c>
      <c r="N134" s="17">
        <v>299.98</v>
      </c>
      <c r="O134" s="18">
        <f t="shared" ca="1" si="9"/>
        <v>4</v>
      </c>
      <c r="P134" s="19">
        <f t="shared" si="10"/>
        <v>45596</v>
      </c>
      <c r="X134" s="25" t="str">
        <f t="shared" si="11"/>
        <v>ELE</v>
      </c>
      <c r="Y134" s="25" t="str">
        <f t="shared" si="12"/>
        <v>BAS.</v>
      </c>
    </row>
    <row r="135" spans="1:25" ht="17.5" customHeight="1" thickBot="1">
      <c r="A135" s="12" t="s">
        <v>232</v>
      </c>
      <c r="B135" s="13">
        <v>45588</v>
      </c>
      <c r="C135" s="12" t="s">
        <v>482</v>
      </c>
      <c r="D135" s="12" t="s">
        <v>80</v>
      </c>
      <c r="E135" s="12" t="s">
        <v>722</v>
      </c>
      <c r="F135" s="12" t="s">
        <v>53</v>
      </c>
      <c r="G135" s="12" t="s">
        <v>17</v>
      </c>
      <c r="H135" s="14">
        <v>2</v>
      </c>
      <c r="I135" s="14">
        <v>699.99</v>
      </c>
      <c r="J135" s="12" t="s">
        <v>18</v>
      </c>
      <c r="K135" s="12" t="s">
        <v>19</v>
      </c>
      <c r="L135" s="12" t="s">
        <v>20</v>
      </c>
      <c r="M135" s="13">
        <v>44992</v>
      </c>
      <c r="N135" s="17">
        <v>1399.98</v>
      </c>
      <c r="O135" s="18">
        <f t="shared" ca="1" si="9"/>
        <v>2</v>
      </c>
      <c r="P135" s="19">
        <f t="shared" si="10"/>
        <v>45596</v>
      </c>
      <c r="X135" s="25" t="str">
        <f t="shared" si="11"/>
        <v>ELE</v>
      </c>
      <c r="Y135" s="25" t="str">
        <f t="shared" si="12"/>
        <v>BAS.</v>
      </c>
    </row>
    <row r="136" spans="1:25" ht="17.5" customHeight="1" thickBot="1">
      <c r="A136" s="12" t="s">
        <v>233</v>
      </c>
      <c r="B136" s="13">
        <v>45589</v>
      </c>
      <c r="C136" s="12" t="s">
        <v>483</v>
      </c>
      <c r="D136" s="12" t="s">
        <v>81</v>
      </c>
      <c r="E136" s="12" t="s">
        <v>723</v>
      </c>
      <c r="F136" s="12" t="s">
        <v>53</v>
      </c>
      <c r="G136" s="12" t="s">
        <v>17</v>
      </c>
      <c r="H136" s="14">
        <v>5</v>
      </c>
      <c r="I136" s="14">
        <v>699.99</v>
      </c>
      <c r="J136" s="12" t="s">
        <v>18</v>
      </c>
      <c r="K136" s="12" t="s">
        <v>32</v>
      </c>
      <c r="L136" s="12" t="s">
        <v>23</v>
      </c>
      <c r="M136" s="13">
        <v>44635</v>
      </c>
      <c r="N136" s="17">
        <v>3499.95</v>
      </c>
      <c r="O136" s="18">
        <f t="shared" ca="1" si="9"/>
        <v>3</v>
      </c>
      <c r="P136" s="19">
        <f t="shared" si="10"/>
        <v>45596</v>
      </c>
      <c r="X136" s="25" t="str">
        <f t="shared" si="11"/>
        <v>ELE</v>
      </c>
      <c r="Y136" s="25" t="str">
        <f t="shared" si="12"/>
        <v>PREM.</v>
      </c>
    </row>
    <row r="137" spans="1:25" ht="17.5" customHeight="1" thickBot="1">
      <c r="A137" s="12" t="s">
        <v>234</v>
      </c>
      <c r="B137" s="13">
        <v>45592</v>
      </c>
      <c r="C137" s="12" t="s">
        <v>484</v>
      </c>
      <c r="D137" s="12" t="s">
        <v>83</v>
      </c>
      <c r="E137" s="12" t="s">
        <v>724</v>
      </c>
      <c r="F137" s="12" t="s">
        <v>68</v>
      </c>
      <c r="G137" s="12" t="s">
        <v>17</v>
      </c>
      <c r="H137" s="14">
        <v>3</v>
      </c>
      <c r="I137" s="14">
        <v>89.99</v>
      </c>
      <c r="J137" s="12" t="s">
        <v>22</v>
      </c>
      <c r="K137" s="12" t="s">
        <v>32</v>
      </c>
      <c r="L137" s="12" t="s">
        <v>30</v>
      </c>
      <c r="M137" s="13">
        <v>44615</v>
      </c>
      <c r="N137" s="17">
        <v>269.97000000000003</v>
      </c>
      <c r="O137" s="18">
        <f t="shared" ca="1" si="9"/>
        <v>4</v>
      </c>
      <c r="P137" s="19">
        <f t="shared" si="10"/>
        <v>45596</v>
      </c>
      <c r="X137" s="25" t="str">
        <f t="shared" si="11"/>
        <v>ELE</v>
      </c>
      <c r="Y137" s="25" t="str">
        <f t="shared" si="12"/>
        <v>STD.</v>
      </c>
    </row>
    <row r="138" spans="1:25" ht="17.5" customHeight="1" thickBot="1">
      <c r="A138" s="12" t="s">
        <v>235</v>
      </c>
      <c r="B138" s="13">
        <v>45597</v>
      </c>
      <c r="C138" s="12" t="s">
        <v>485</v>
      </c>
      <c r="D138" s="12" t="s">
        <v>14</v>
      </c>
      <c r="E138" s="12" t="s">
        <v>725</v>
      </c>
      <c r="F138" s="12" t="s">
        <v>16</v>
      </c>
      <c r="G138" s="12" t="s">
        <v>17</v>
      </c>
      <c r="H138" s="14">
        <v>5</v>
      </c>
      <c r="I138" s="14">
        <v>249.99</v>
      </c>
      <c r="J138" s="12" t="s">
        <v>22</v>
      </c>
      <c r="K138" s="12" t="s">
        <v>29</v>
      </c>
      <c r="L138" s="12" t="s">
        <v>30</v>
      </c>
      <c r="M138" s="13">
        <v>44881</v>
      </c>
      <c r="N138" s="17">
        <v>1249.95</v>
      </c>
      <c r="O138" s="18">
        <f t="shared" ca="1" si="9"/>
        <v>3</v>
      </c>
      <c r="P138" s="19">
        <f t="shared" si="10"/>
        <v>45626</v>
      </c>
      <c r="X138" s="25" t="str">
        <f t="shared" si="11"/>
        <v>ELE</v>
      </c>
      <c r="Y138" s="25" t="str">
        <f t="shared" si="12"/>
        <v>STD.</v>
      </c>
    </row>
    <row r="139" spans="1:25" ht="17.5" customHeight="1" thickBot="1">
      <c r="A139" s="12" t="s">
        <v>236</v>
      </c>
      <c r="B139" s="13">
        <v>45600</v>
      </c>
      <c r="C139" s="12" t="s">
        <v>486</v>
      </c>
      <c r="D139" s="12" t="s">
        <v>47</v>
      </c>
      <c r="E139" s="12" t="s">
        <v>726</v>
      </c>
      <c r="F139" s="12" t="s">
        <v>62</v>
      </c>
      <c r="G139" s="12" t="s">
        <v>36</v>
      </c>
      <c r="H139" s="14">
        <v>3</v>
      </c>
      <c r="I139" s="14">
        <v>299.99</v>
      </c>
      <c r="J139" s="12" t="s">
        <v>22</v>
      </c>
      <c r="K139" s="12" t="s">
        <v>29</v>
      </c>
      <c r="L139" s="12" t="s">
        <v>30</v>
      </c>
      <c r="M139" s="13">
        <v>44502</v>
      </c>
      <c r="N139" s="17">
        <v>899.97</v>
      </c>
      <c r="O139" s="18">
        <f t="shared" ca="1" si="9"/>
        <v>4</v>
      </c>
      <c r="P139" s="19">
        <f t="shared" si="10"/>
        <v>45626</v>
      </c>
      <c r="X139" s="25" t="str">
        <f t="shared" si="11"/>
        <v>FUR</v>
      </c>
      <c r="Y139" s="25" t="str">
        <f t="shared" si="12"/>
        <v>STD.</v>
      </c>
    </row>
    <row r="140" spans="1:25" ht="17.5" customHeight="1" thickBot="1">
      <c r="A140" s="12" t="s">
        <v>237</v>
      </c>
      <c r="B140" s="13">
        <v>45603</v>
      </c>
      <c r="C140" s="12" t="s">
        <v>487</v>
      </c>
      <c r="D140" s="12" t="s">
        <v>59</v>
      </c>
      <c r="E140" s="12" t="s">
        <v>727</v>
      </c>
      <c r="F140" s="12" t="s">
        <v>68</v>
      </c>
      <c r="G140" s="12" t="s">
        <v>17</v>
      </c>
      <c r="H140" s="14">
        <v>3</v>
      </c>
      <c r="I140" s="14">
        <v>89.99</v>
      </c>
      <c r="J140" s="12" t="s">
        <v>22</v>
      </c>
      <c r="K140" s="12" t="s">
        <v>32</v>
      </c>
      <c r="L140" s="12" t="s">
        <v>23</v>
      </c>
      <c r="M140" s="13">
        <v>44420</v>
      </c>
      <c r="N140" s="17">
        <v>269.97000000000003</v>
      </c>
      <c r="O140" s="18">
        <f t="shared" ca="1" si="9"/>
        <v>4</v>
      </c>
      <c r="P140" s="19">
        <f t="shared" si="10"/>
        <v>45626</v>
      </c>
      <c r="X140" s="25" t="str">
        <f t="shared" si="11"/>
        <v>ELE</v>
      </c>
      <c r="Y140" s="25" t="str">
        <f t="shared" si="12"/>
        <v>PREM.</v>
      </c>
    </row>
    <row r="141" spans="1:25" ht="17.5" customHeight="1" thickBot="1">
      <c r="A141" s="12" t="s">
        <v>238</v>
      </c>
      <c r="B141" s="13">
        <v>45604</v>
      </c>
      <c r="C141" s="12" t="s">
        <v>488</v>
      </c>
      <c r="D141" s="12" t="s">
        <v>56</v>
      </c>
      <c r="E141" s="12" t="s">
        <v>728</v>
      </c>
      <c r="F141" s="12" t="s">
        <v>35</v>
      </c>
      <c r="G141" s="12" t="s">
        <v>36</v>
      </c>
      <c r="H141" s="14">
        <v>2</v>
      </c>
      <c r="I141" s="14">
        <v>149.99</v>
      </c>
      <c r="J141" s="12" t="s">
        <v>22</v>
      </c>
      <c r="K141" s="12" t="s">
        <v>38</v>
      </c>
      <c r="L141" s="12" t="s">
        <v>23</v>
      </c>
      <c r="M141" s="13">
        <v>44848</v>
      </c>
      <c r="N141" s="17">
        <v>299.98</v>
      </c>
      <c r="O141" s="18">
        <f t="shared" ca="1" si="9"/>
        <v>3</v>
      </c>
      <c r="P141" s="19">
        <f t="shared" si="10"/>
        <v>45626</v>
      </c>
      <c r="X141" s="25" t="str">
        <f t="shared" si="11"/>
        <v>FUR</v>
      </c>
      <c r="Y141" s="25" t="str">
        <f t="shared" si="12"/>
        <v>PREM.</v>
      </c>
    </row>
    <row r="142" spans="1:25" ht="17.5" customHeight="1" thickBot="1">
      <c r="A142" s="12" t="s">
        <v>239</v>
      </c>
      <c r="B142" s="13">
        <v>45605</v>
      </c>
      <c r="C142" s="12" t="s">
        <v>489</v>
      </c>
      <c r="D142" s="12" t="s">
        <v>85</v>
      </c>
      <c r="E142" s="12" t="s">
        <v>729</v>
      </c>
      <c r="F142" s="12" t="s">
        <v>16</v>
      </c>
      <c r="G142" s="12" t="s">
        <v>17</v>
      </c>
      <c r="H142" s="14">
        <v>1</v>
      </c>
      <c r="I142" s="14">
        <v>249.99</v>
      </c>
      <c r="J142" s="12" t="s">
        <v>22</v>
      </c>
      <c r="K142" s="12" t="s">
        <v>32</v>
      </c>
      <c r="L142" s="12" t="s">
        <v>23</v>
      </c>
      <c r="M142" s="13">
        <v>44828</v>
      </c>
      <c r="N142" s="17">
        <v>249.99</v>
      </c>
      <c r="O142" s="18">
        <f t="shared" ca="1" si="9"/>
        <v>3</v>
      </c>
      <c r="P142" s="19">
        <f t="shared" si="10"/>
        <v>45626</v>
      </c>
      <c r="X142" s="25" t="str">
        <f t="shared" si="11"/>
        <v>ELE</v>
      </c>
      <c r="Y142" s="25" t="str">
        <f t="shared" si="12"/>
        <v>PREM.</v>
      </c>
    </row>
    <row r="143" spans="1:25" ht="17.5" customHeight="1" thickBot="1">
      <c r="A143" s="12" t="s">
        <v>240</v>
      </c>
      <c r="B143" s="13">
        <v>45607</v>
      </c>
      <c r="C143" s="12" t="s">
        <v>490</v>
      </c>
      <c r="D143" s="12" t="s">
        <v>49</v>
      </c>
      <c r="E143" s="12" t="s">
        <v>730</v>
      </c>
      <c r="F143" s="12" t="s">
        <v>40</v>
      </c>
      <c r="G143" s="12" t="s">
        <v>17</v>
      </c>
      <c r="H143" s="14">
        <v>3</v>
      </c>
      <c r="I143" s="14">
        <v>149.99</v>
      </c>
      <c r="J143" s="12" t="s">
        <v>18</v>
      </c>
      <c r="K143" s="12" t="s">
        <v>32</v>
      </c>
      <c r="L143" s="12" t="s">
        <v>20</v>
      </c>
      <c r="M143" s="13">
        <v>44769</v>
      </c>
      <c r="N143" s="17">
        <v>449.97</v>
      </c>
      <c r="O143" s="18">
        <f t="shared" ca="1" si="9"/>
        <v>3</v>
      </c>
      <c r="P143" s="19">
        <f t="shared" si="10"/>
        <v>45626</v>
      </c>
      <c r="X143" s="25" t="str">
        <f t="shared" si="11"/>
        <v>ELE</v>
      </c>
      <c r="Y143" s="25" t="str">
        <f t="shared" si="12"/>
        <v>BAS.</v>
      </c>
    </row>
    <row r="144" spans="1:25" ht="17.5" customHeight="1" thickBot="1">
      <c r="A144" s="12" t="s">
        <v>241</v>
      </c>
      <c r="B144" s="13">
        <v>45607</v>
      </c>
      <c r="C144" s="12" t="s">
        <v>491</v>
      </c>
      <c r="D144" s="12" t="s">
        <v>14</v>
      </c>
      <c r="E144" s="12" t="s">
        <v>731</v>
      </c>
      <c r="F144" s="12" t="s">
        <v>26</v>
      </c>
      <c r="G144" s="12" t="s">
        <v>27</v>
      </c>
      <c r="H144" s="14">
        <v>5</v>
      </c>
      <c r="I144" s="14">
        <v>59.99</v>
      </c>
      <c r="J144" s="12" t="s">
        <v>28</v>
      </c>
      <c r="K144" s="12" t="s">
        <v>38</v>
      </c>
      <c r="L144" s="12" t="s">
        <v>23</v>
      </c>
      <c r="M144" s="13">
        <v>44694</v>
      </c>
      <c r="N144" s="17">
        <v>299.95</v>
      </c>
      <c r="O144" s="18">
        <f t="shared" ca="1" si="9"/>
        <v>3</v>
      </c>
      <c r="P144" s="19">
        <f t="shared" si="10"/>
        <v>45626</v>
      </c>
      <c r="X144" s="25" t="str">
        <f t="shared" si="11"/>
        <v>APP</v>
      </c>
      <c r="Y144" s="25" t="str">
        <f t="shared" si="12"/>
        <v>PREM.</v>
      </c>
    </row>
    <row r="145" spans="1:25" ht="17.5" customHeight="1" thickBot="1">
      <c r="A145" s="12" t="s">
        <v>242</v>
      </c>
      <c r="B145" s="13">
        <v>45607</v>
      </c>
      <c r="C145" s="12" t="s">
        <v>492</v>
      </c>
      <c r="D145" s="12" t="s">
        <v>59</v>
      </c>
      <c r="E145" s="12" t="s">
        <v>732</v>
      </c>
      <c r="F145" s="12" t="s">
        <v>16</v>
      </c>
      <c r="G145" s="12" t="s">
        <v>17</v>
      </c>
      <c r="H145" s="14">
        <v>4</v>
      </c>
      <c r="I145" s="14">
        <v>249.99</v>
      </c>
      <c r="J145" s="12" t="s">
        <v>22</v>
      </c>
      <c r="K145" s="12" t="s">
        <v>38</v>
      </c>
      <c r="L145" s="12" t="s">
        <v>30</v>
      </c>
      <c r="M145" s="13">
        <v>44659</v>
      </c>
      <c r="N145" s="17">
        <v>999.96</v>
      </c>
      <c r="O145" s="18">
        <f t="shared" ca="1" si="9"/>
        <v>3</v>
      </c>
      <c r="P145" s="19">
        <f t="shared" si="10"/>
        <v>45626</v>
      </c>
      <c r="X145" s="25" t="str">
        <f t="shared" si="11"/>
        <v>ELE</v>
      </c>
      <c r="Y145" s="25" t="str">
        <f t="shared" si="12"/>
        <v>STD.</v>
      </c>
    </row>
    <row r="146" spans="1:25" ht="17.5" customHeight="1" thickBot="1">
      <c r="A146" s="12" t="s">
        <v>243</v>
      </c>
      <c r="B146" s="13">
        <v>45608</v>
      </c>
      <c r="C146" s="12" t="s">
        <v>493</v>
      </c>
      <c r="D146" s="12" t="s">
        <v>80</v>
      </c>
      <c r="E146" s="12" t="s">
        <v>733</v>
      </c>
      <c r="F146" s="12" t="s">
        <v>35</v>
      </c>
      <c r="G146" s="12" t="s">
        <v>36</v>
      </c>
      <c r="H146" s="14">
        <v>5</v>
      </c>
      <c r="I146" s="14">
        <v>149.99</v>
      </c>
      <c r="J146" s="12" t="s">
        <v>28</v>
      </c>
      <c r="K146" s="12" t="s">
        <v>19</v>
      </c>
      <c r="L146" s="12" t="s">
        <v>20</v>
      </c>
      <c r="M146" s="13">
        <v>44901</v>
      </c>
      <c r="N146" s="17">
        <v>749.95</v>
      </c>
      <c r="O146" s="18">
        <f t="shared" ca="1" si="9"/>
        <v>3</v>
      </c>
      <c r="P146" s="19">
        <f t="shared" si="10"/>
        <v>45626</v>
      </c>
      <c r="X146" s="25" t="str">
        <f t="shared" si="11"/>
        <v>FUR</v>
      </c>
      <c r="Y146" s="25" t="str">
        <f t="shared" si="12"/>
        <v>BAS.</v>
      </c>
    </row>
    <row r="147" spans="1:25" ht="17.5" customHeight="1" thickBot="1">
      <c r="A147" s="12" t="s">
        <v>244</v>
      </c>
      <c r="B147" s="13">
        <v>45608</v>
      </c>
      <c r="C147" s="12" t="s">
        <v>494</v>
      </c>
      <c r="D147" s="12" t="s">
        <v>54</v>
      </c>
      <c r="E147" s="12" t="s">
        <v>734</v>
      </c>
      <c r="F147" s="12" t="s">
        <v>26</v>
      </c>
      <c r="G147" s="12" t="s">
        <v>27</v>
      </c>
      <c r="H147" s="14">
        <v>3</v>
      </c>
      <c r="I147" s="14">
        <v>59.99</v>
      </c>
      <c r="J147" s="12" t="s">
        <v>42</v>
      </c>
      <c r="K147" s="12" t="s">
        <v>29</v>
      </c>
      <c r="L147" s="12" t="s">
        <v>30</v>
      </c>
      <c r="M147" s="13">
        <v>45260</v>
      </c>
      <c r="N147" s="17">
        <v>179.97</v>
      </c>
      <c r="O147" s="18">
        <f t="shared" ca="1" si="9"/>
        <v>2</v>
      </c>
      <c r="P147" s="19">
        <f t="shared" si="10"/>
        <v>45626</v>
      </c>
      <c r="X147" s="25" t="str">
        <f t="shared" si="11"/>
        <v>APP</v>
      </c>
      <c r="Y147" s="25" t="str">
        <f t="shared" si="12"/>
        <v>STD.</v>
      </c>
    </row>
    <row r="148" spans="1:25" ht="17.5" customHeight="1" thickBot="1">
      <c r="A148" s="12" t="s">
        <v>245</v>
      </c>
      <c r="B148" s="13">
        <v>45613</v>
      </c>
      <c r="C148" s="12" t="s">
        <v>495</v>
      </c>
      <c r="D148" s="12" t="s">
        <v>91</v>
      </c>
      <c r="E148" s="12" t="s">
        <v>735</v>
      </c>
      <c r="F148" s="12" t="s">
        <v>35</v>
      </c>
      <c r="G148" s="12" t="s">
        <v>36</v>
      </c>
      <c r="H148" s="14">
        <v>5</v>
      </c>
      <c r="I148" s="14">
        <v>149.99</v>
      </c>
      <c r="J148" s="12" t="s">
        <v>18</v>
      </c>
      <c r="K148" s="12" t="s">
        <v>32</v>
      </c>
      <c r="L148" s="12" t="s">
        <v>20</v>
      </c>
      <c r="M148" s="13">
        <v>44869</v>
      </c>
      <c r="N148" s="17">
        <v>749.95</v>
      </c>
      <c r="O148" s="18">
        <f t="shared" ca="1" si="9"/>
        <v>3</v>
      </c>
      <c r="P148" s="19">
        <f t="shared" si="10"/>
        <v>45626</v>
      </c>
      <c r="X148" s="25" t="str">
        <f t="shared" si="11"/>
        <v>FUR</v>
      </c>
      <c r="Y148" s="25" t="str">
        <f t="shared" si="12"/>
        <v>BAS.</v>
      </c>
    </row>
    <row r="149" spans="1:25" ht="17.5" customHeight="1" thickBot="1">
      <c r="A149" s="12" t="s">
        <v>246</v>
      </c>
      <c r="B149" s="13">
        <v>45613</v>
      </c>
      <c r="C149" s="12" t="s">
        <v>496</v>
      </c>
      <c r="D149" s="12" t="s">
        <v>55</v>
      </c>
      <c r="E149" s="12" t="s">
        <v>736</v>
      </c>
      <c r="F149" s="12" t="s">
        <v>53</v>
      </c>
      <c r="G149" s="12" t="s">
        <v>17</v>
      </c>
      <c r="H149" s="14">
        <v>2</v>
      </c>
      <c r="I149" s="14">
        <v>699.99</v>
      </c>
      <c r="J149" s="12" t="s">
        <v>28</v>
      </c>
      <c r="K149" s="12" t="s">
        <v>38</v>
      </c>
      <c r="L149" s="12" t="s">
        <v>30</v>
      </c>
      <c r="M149" s="13">
        <v>44770</v>
      </c>
      <c r="N149" s="17">
        <v>1399.98</v>
      </c>
      <c r="O149" s="18">
        <f t="shared" ca="1" si="9"/>
        <v>3</v>
      </c>
      <c r="P149" s="19">
        <f t="shared" si="10"/>
        <v>45626</v>
      </c>
      <c r="X149" s="25" t="str">
        <f t="shared" si="11"/>
        <v>ELE</v>
      </c>
      <c r="Y149" s="25" t="str">
        <f t="shared" si="12"/>
        <v>STD.</v>
      </c>
    </row>
    <row r="150" spans="1:25" ht="17.5" customHeight="1" thickBot="1">
      <c r="A150" s="12" t="s">
        <v>247</v>
      </c>
      <c r="B150" s="13">
        <v>45617</v>
      </c>
      <c r="C150" s="12" t="s">
        <v>497</v>
      </c>
      <c r="D150" s="12" t="s">
        <v>70</v>
      </c>
      <c r="E150" s="12" t="s">
        <v>737</v>
      </c>
      <c r="F150" s="12" t="s">
        <v>72</v>
      </c>
      <c r="G150" s="12" t="s">
        <v>36</v>
      </c>
      <c r="H150" s="14">
        <v>4</v>
      </c>
      <c r="I150" s="14">
        <v>199.99</v>
      </c>
      <c r="J150" s="12" t="s">
        <v>42</v>
      </c>
      <c r="K150" s="12" t="s">
        <v>19</v>
      </c>
      <c r="L150" s="12" t="s">
        <v>23</v>
      </c>
      <c r="M150" s="13">
        <v>44427</v>
      </c>
      <c r="N150" s="17">
        <v>799.96</v>
      </c>
      <c r="O150" s="18">
        <f t="shared" ca="1" si="9"/>
        <v>4</v>
      </c>
      <c r="P150" s="19">
        <f t="shared" si="10"/>
        <v>45626</v>
      </c>
      <c r="X150" s="25" t="str">
        <f t="shared" si="11"/>
        <v>FUR</v>
      </c>
      <c r="Y150" s="25" t="str">
        <f t="shared" si="12"/>
        <v>PREM.</v>
      </c>
    </row>
    <row r="151" spans="1:25" ht="17.5" customHeight="1" thickBot="1">
      <c r="A151" s="12" t="s">
        <v>248</v>
      </c>
      <c r="B151" s="13">
        <v>45619</v>
      </c>
      <c r="C151" s="12" t="s">
        <v>498</v>
      </c>
      <c r="D151" s="12" t="s">
        <v>86</v>
      </c>
      <c r="E151" s="12" t="s">
        <v>738</v>
      </c>
      <c r="F151" s="12" t="s">
        <v>26</v>
      </c>
      <c r="G151" s="12" t="s">
        <v>27</v>
      </c>
      <c r="H151" s="14">
        <v>1</v>
      </c>
      <c r="I151" s="14">
        <v>59.99</v>
      </c>
      <c r="J151" s="12" t="s">
        <v>42</v>
      </c>
      <c r="K151" s="12" t="s">
        <v>38</v>
      </c>
      <c r="L151" s="12" t="s">
        <v>30</v>
      </c>
      <c r="M151" s="13">
        <v>44560</v>
      </c>
      <c r="N151" s="17">
        <v>59.99</v>
      </c>
      <c r="O151" s="18">
        <f t="shared" ca="1" si="9"/>
        <v>4</v>
      </c>
      <c r="P151" s="19">
        <f t="shared" si="10"/>
        <v>45626</v>
      </c>
      <c r="X151" s="25" t="str">
        <f t="shared" si="11"/>
        <v>APP</v>
      </c>
      <c r="Y151" s="25" t="str">
        <f t="shared" si="12"/>
        <v>STD.</v>
      </c>
    </row>
    <row r="152" spans="1:25" ht="17.5" customHeight="1" thickBot="1">
      <c r="A152" s="12" t="s">
        <v>249</v>
      </c>
      <c r="B152" s="13">
        <v>45619</v>
      </c>
      <c r="C152" s="12" t="s">
        <v>499</v>
      </c>
      <c r="D152" s="12" t="s">
        <v>80</v>
      </c>
      <c r="E152" s="12" t="s">
        <v>739</v>
      </c>
      <c r="F152" s="12" t="s">
        <v>53</v>
      </c>
      <c r="G152" s="12" t="s">
        <v>17</v>
      </c>
      <c r="H152" s="14">
        <v>3</v>
      </c>
      <c r="I152" s="14">
        <v>699.99</v>
      </c>
      <c r="J152" s="12" t="s">
        <v>28</v>
      </c>
      <c r="K152" s="12" t="s">
        <v>38</v>
      </c>
      <c r="L152" s="12" t="s">
        <v>30</v>
      </c>
      <c r="M152" s="13">
        <v>44583</v>
      </c>
      <c r="N152" s="17">
        <v>2099.9699999999998</v>
      </c>
      <c r="O152" s="18">
        <f t="shared" ca="1" si="9"/>
        <v>4</v>
      </c>
      <c r="P152" s="19">
        <f t="shared" si="10"/>
        <v>45626</v>
      </c>
      <c r="X152" s="25" t="str">
        <f t="shared" si="11"/>
        <v>ELE</v>
      </c>
      <c r="Y152" s="25" t="str">
        <f t="shared" si="12"/>
        <v>STD.</v>
      </c>
    </row>
    <row r="153" spans="1:25" ht="17.5" customHeight="1" thickBot="1">
      <c r="A153" s="12" t="s">
        <v>250</v>
      </c>
      <c r="B153" s="13">
        <v>45622</v>
      </c>
      <c r="C153" s="12" t="s">
        <v>500</v>
      </c>
      <c r="D153" s="12" t="s">
        <v>95</v>
      </c>
      <c r="E153" s="12" t="s">
        <v>740</v>
      </c>
      <c r="F153" s="12" t="s">
        <v>16</v>
      </c>
      <c r="G153" s="12" t="s">
        <v>17</v>
      </c>
      <c r="H153" s="14">
        <v>5</v>
      </c>
      <c r="I153" s="14">
        <v>249.99</v>
      </c>
      <c r="J153" s="12" t="s">
        <v>22</v>
      </c>
      <c r="K153" s="12" t="s">
        <v>32</v>
      </c>
      <c r="L153" s="12" t="s">
        <v>20</v>
      </c>
      <c r="M153" s="13">
        <v>44873</v>
      </c>
      <c r="N153" s="17">
        <v>1249.95</v>
      </c>
      <c r="O153" s="18">
        <f t="shared" ca="1" si="9"/>
        <v>3</v>
      </c>
      <c r="P153" s="19">
        <f t="shared" si="10"/>
        <v>45626</v>
      </c>
      <c r="X153" s="25" t="str">
        <f t="shared" si="11"/>
        <v>ELE</v>
      </c>
      <c r="Y153" s="25" t="str">
        <f t="shared" si="12"/>
        <v>BAS.</v>
      </c>
    </row>
    <row r="154" spans="1:25" ht="17.5" customHeight="1" thickBot="1">
      <c r="A154" s="12" t="s">
        <v>251</v>
      </c>
      <c r="B154" s="13">
        <v>45623</v>
      </c>
      <c r="C154" s="12" t="s">
        <v>501</v>
      </c>
      <c r="D154" s="12" t="s">
        <v>64</v>
      </c>
      <c r="E154" s="12" t="s">
        <v>741</v>
      </c>
      <c r="F154" s="12" t="s">
        <v>35</v>
      </c>
      <c r="G154" s="12" t="s">
        <v>36</v>
      </c>
      <c r="H154" s="14">
        <v>2</v>
      </c>
      <c r="I154" s="14">
        <v>149.99</v>
      </c>
      <c r="J154" s="12" t="s">
        <v>18</v>
      </c>
      <c r="K154" s="12" t="s">
        <v>29</v>
      </c>
      <c r="L154" s="12" t="s">
        <v>30</v>
      </c>
      <c r="M154" s="13">
        <v>45101</v>
      </c>
      <c r="N154" s="17">
        <v>299.98</v>
      </c>
      <c r="O154" s="18">
        <f t="shared" ca="1" si="9"/>
        <v>2</v>
      </c>
      <c r="P154" s="19">
        <f t="shared" si="10"/>
        <v>45626</v>
      </c>
      <c r="X154" s="25" t="str">
        <f t="shared" si="11"/>
        <v>FUR</v>
      </c>
      <c r="Y154" s="25" t="str">
        <f t="shared" si="12"/>
        <v>STD.</v>
      </c>
    </row>
    <row r="155" spans="1:25" ht="17.5" customHeight="1" thickBot="1">
      <c r="A155" s="12" t="s">
        <v>252</v>
      </c>
      <c r="B155" s="13">
        <v>45627</v>
      </c>
      <c r="C155" s="12" t="s">
        <v>502</v>
      </c>
      <c r="D155" s="12" t="s">
        <v>24</v>
      </c>
      <c r="E155" s="12" t="s">
        <v>742</v>
      </c>
      <c r="F155" s="12" t="s">
        <v>62</v>
      </c>
      <c r="G155" s="12" t="s">
        <v>36</v>
      </c>
      <c r="H155" s="14">
        <v>3</v>
      </c>
      <c r="I155" s="14">
        <v>299.99</v>
      </c>
      <c r="J155" s="12" t="s">
        <v>18</v>
      </c>
      <c r="K155" s="12" t="s">
        <v>29</v>
      </c>
      <c r="L155" s="12" t="s">
        <v>23</v>
      </c>
      <c r="M155" s="13">
        <v>44659</v>
      </c>
      <c r="N155" s="17">
        <v>899.97</v>
      </c>
      <c r="O155" s="18">
        <f t="shared" ca="1" si="9"/>
        <v>3</v>
      </c>
      <c r="P155" s="19">
        <f t="shared" si="10"/>
        <v>45657</v>
      </c>
      <c r="X155" s="25" t="str">
        <f t="shared" si="11"/>
        <v>FUR</v>
      </c>
      <c r="Y155" s="25" t="str">
        <f t="shared" si="12"/>
        <v>PREM.</v>
      </c>
    </row>
    <row r="156" spans="1:25" ht="17.5" customHeight="1" thickBot="1">
      <c r="A156" s="12" t="s">
        <v>253</v>
      </c>
      <c r="B156" s="13">
        <v>45627</v>
      </c>
      <c r="C156" s="12" t="s">
        <v>503</v>
      </c>
      <c r="D156" s="12" t="s">
        <v>41</v>
      </c>
      <c r="E156" s="12" t="s">
        <v>743</v>
      </c>
      <c r="F156" s="12" t="s">
        <v>16</v>
      </c>
      <c r="G156" s="12" t="s">
        <v>17</v>
      </c>
      <c r="H156" s="14">
        <v>5</v>
      </c>
      <c r="I156" s="14">
        <v>249.99</v>
      </c>
      <c r="J156" s="12" t="s">
        <v>18</v>
      </c>
      <c r="K156" s="12" t="s">
        <v>19</v>
      </c>
      <c r="L156" s="12" t="s">
        <v>23</v>
      </c>
      <c r="M156" s="13">
        <v>44485</v>
      </c>
      <c r="N156" s="17">
        <v>1249.95</v>
      </c>
      <c r="O156" s="18">
        <f t="shared" ca="1" si="9"/>
        <v>4</v>
      </c>
      <c r="P156" s="19">
        <f t="shared" si="10"/>
        <v>45657</v>
      </c>
      <c r="X156" s="25" t="str">
        <f t="shared" si="11"/>
        <v>ELE</v>
      </c>
      <c r="Y156" s="25" t="str">
        <f t="shared" si="12"/>
        <v>PREM.</v>
      </c>
    </row>
    <row r="157" spans="1:25" ht="17.5" customHeight="1" thickBot="1">
      <c r="A157" s="12" t="s">
        <v>254</v>
      </c>
      <c r="B157" s="13">
        <v>45627</v>
      </c>
      <c r="C157" s="12" t="s">
        <v>504</v>
      </c>
      <c r="D157" s="12" t="s">
        <v>21</v>
      </c>
      <c r="E157" s="12" t="s">
        <v>744</v>
      </c>
      <c r="F157" s="12" t="s">
        <v>40</v>
      </c>
      <c r="G157" s="12" t="s">
        <v>17</v>
      </c>
      <c r="H157" s="14">
        <v>2</v>
      </c>
      <c r="I157" s="14">
        <v>149.99</v>
      </c>
      <c r="J157" s="12" t="s">
        <v>18</v>
      </c>
      <c r="K157" s="12" t="s">
        <v>29</v>
      </c>
      <c r="L157" s="12" t="s">
        <v>23</v>
      </c>
      <c r="M157" s="13">
        <v>44475</v>
      </c>
      <c r="N157" s="17">
        <v>299.98</v>
      </c>
      <c r="O157" s="18">
        <f t="shared" ca="1" si="9"/>
        <v>4</v>
      </c>
      <c r="P157" s="19">
        <f t="shared" si="10"/>
        <v>45657</v>
      </c>
      <c r="X157" s="25" t="str">
        <f t="shared" si="11"/>
        <v>ELE</v>
      </c>
      <c r="Y157" s="25" t="str">
        <f t="shared" si="12"/>
        <v>PREM.</v>
      </c>
    </row>
    <row r="158" spans="1:25" ht="17.5" customHeight="1" thickBot="1">
      <c r="A158" s="12" t="s">
        <v>255</v>
      </c>
      <c r="B158" s="13">
        <v>45627</v>
      </c>
      <c r="C158" s="12" t="s">
        <v>505</v>
      </c>
      <c r="D158" s="12" t="s">
        <v>55</v>
      </c>
      <c r="E158" s="12" t="s">
        <v>745</v>
      </c>
      <c r="F158" s="12" t="s">
        <v>53</v>
      </c>
      <c r="G158" s="12" t="s">
        <v>17</v>
      </c>
      <c r="H158" s="14">
        <v>5</v>
      </c>
      <c r="I158" s="14">
        <v>699.99</v>
      </c>
      <c r="J158" s="12" t="s">
        <v>42</v>
      </c>
      <c r="K158" s="12" t="s">
        <v>38</v>
      </c>
      <c r="L158" s="12" t="s">
        <v>30</v>
      </c>
      <c r="M158" s="13">
        <v>44944</v>
      </c>
      <c r="N158" s="17">
        <v>3499.95</v>
      </c>
      <c r="O158" s="18">
        <f t="shared" ca="1" si="9"/>
        <v>3</v>
      </c>
      <c r="P158" s="19">
        <f t="shared" si="10"/>
        <v>45657</v>
      </c>
      <c r="X158" s="25" t="str">
        <f t="shared" si="11"/>
        <v>ELE</v>
      </c>
      <c r="Y158" s="25" t="str">
        <f t="shared" si="12"/>
        <v>STD.</v>
      </c>
    </row>
    <row r="159" spans="1:25" ht="17.5" customHeight="1" thickBot="1">
      <c r="A159" s="12" t="s">
        <v>256</v>
      </c>
      <c r="B159" s="13">
        <v>45629</v>
      </c>
      <c r="C159" s="12" t="s">
        <v>506</v>
      </c>
      <c r="D159" s="12" t="s">
        <v>93</v>
      </c>
      <c r="E159" s="12" t="s">
        <v>746</v>
      </c>
      <c r="F159" s="12" t="s">
        <v>16</v>
      </c>
      <c r="G159" s="12" t="s">
        <v>17</v>
      </c>
      <c r="H159" s="14">
        <v>4</v>
      </c>
      <c r="I159" s="14">
        <v>249.99</v>
      </c>
      <c r="J159" s="12" t="s">
        <v>28</v>
      </c>
      <c r="K159" s="12" t="s">
        <v>46</v>
      </c>
      <c r="L159" s="12" t="s">
        <v>23</v>
      </c>
      <c r="M159" s="13">
        <v>45098</v>
      </c>
      <c r="N159" s="17">
        <v>999.96</v>
      </c>
      <c r="O159" s="18">
        <f t="shared" ca="1" si="9"/>
        <v>2</v>
      </c>
      <c r="P159" s="19">
        <f t="shared" si="10"/>
        <v>45657</v>
      </c>
      <c r="X159" s="25" t="str">
        <f t="shared" si="11"/>
        <v>ELE</v>
      </c>
      <c r="Y159" s="25" t="str">
        <f t="shared" si="12"/>
        <v>PREM.</v>
      </c>
    </row>
    <row r="160" spans="1:25" ht="17.5" customHeight="1" thickBot="1">
      <c r="A160" s="12" t="s">
        <v>257</v>
      </c>
      <c r="B160" s="13">
        <v>45630</v>
      </c>
      <c r="C160" s="12" t="s">
        <v>507</v>
      </c>
      <c r="D160" s="12" t="s">
        <v>37</v>
      </c>
      <c r="E160" s="12" t="s">
        <v>747</v>
      </c>
      <c r="F160" s="12" t="s">
        <v>53</v>
      </c>
      <c r="G160" s="12" t="s">
        <v>17</v>
      </c>
      <c r="H160" s="14">
        <v>4</v>
      </c>
      <c r="I160" s="14">
        <v>699.99</v>
      </c>
      <c r="J160" s="12" t="s">
        <v>22</v>
      </c>
      <c r="K160" s="12" t="s">
        <v>32</v>
      </c>
      <c r="L160" s="12" t="s">
        <v>23</v>
      </c>
      <c r="M160" s="13">
        <v>44703</v>
      </c>
      <c r="N160" s="17">
        <v>2799.96</v>
      </c>
      <c r="O160" s="18">
        <f t="shared" ca="1" si="9"/>
        <v>3</v>
      </c>
      <c r="P160" s="19">
        <f t="shared" si="10"/>
        <v>45657</v>
      </c>
      <c r="X160" s="25" t="str">
        <f t="shared" si="11"/>
        <v>ELE</v>
      </c>
      <c r="Y160" s="25" t="str">
        <f t="shared" si="12"/>
        <v>PREM.</v>
      </c>
    </row>
    <row r="161" spans="1:25" ht="17.5" customHeight="1" thickBot="1">
      <c r="A161" s="12" t="s">
        <v>258</v>
      </c>
      <c r="B161" s="13">
        <v>45635</v>
      </c>
      <c r="C161" s="12" t="s">
        <v>508</v>
      </c>
      <c r="D161" s="12" t="s">
        <v>63</v>
      </c>
      <c r="E161" s="12" t="s">
        <v>748</v>
      </c>
      <c r="F161" s="12" t="s">
        <v>16</v>
      </c>
      <c r="G161" s="12" t="s">
        <v>17</v>
      </c>
      <c r="H161" s="14">
        <v>2</v>
      </c>
      <c r="I161" s="14">
        <v>249.99</v>
      </c>
      <c r="J161" s="12" t="s">
        <v>22</v>
      </c>
      <c r="K161" s="12" t="s">
        <v>19</v>
      </c>
      <c r="L161" s="12" t="s">
        <v>23</v>
      </c>
      <c r="M161" s="13">
        <v>44396</v>
      </c>
      <c r="N161" s="17">
        <v>499.98</v>
      </c>
      <c r="O161" s="18">
        <f t="shared" ca="1" si="9"/>
        <v>4</v>
      </c>
      <c r="P161" s="19">
        <f t="shared" si="10"/>
        <v>45657</v>
      </c>
      <c r="X161" s="25" t="str">
        <f t="shared" si="11"/>
        <v>ELE</v>
      </c>
      <c r="Y161" s="25" t="str">
        <f t="shared" si="12"/>
        <v>PREM.</v>
      </c>
    </row>
    <row r="162" spans="1:25" ht="17.5" customHeight="1" thickBot="1">
      <c r="A162" s="12" t="s">
        <v>259</v>
      </c>
      <c r="B162" s="13">
        <v>45635</v>
      </c>
      <c r="C162" s="12" t="s">
        <v>509</v>
      </c>
      <c r="D162" s="12" t="s">
        <v>96</v>
      </c>
      <c r="E162" s="12" t="s">
        <v>749</v>
      </c>
      <c r="F162" s="12" t="s">
        <v>26</v>
      </c>
      <c r="G162" s="12" t="s">
        <v>27</v>
      </c>
      <c r="H162" s="14">
        <v>3</v>
      </c>
      <c r="I162" s="14">
        <v>59.99</v>
      </c>
      <c r="J162" s="12" t="s">
        <v>18</v>
      </c>
      <c r="K162" s="12" t="s">
        <v>19</v>
      </c>
      <c r="L162" s="12" t="s">
        <v>23</v>
      </c>
      <c r="M162" s="13">
        <v>45052</v>
      </c>
      <c r="N162" s="17">
        <v>179.97</v>
      </c>
      <c r="O162" s="18">
        <f t="shared" ca="1" si="9"/>
        <v>2</v>
      </c>
      <c r="P162" s="19">
        <f t="shared" si="10"/>
        <v>45657</v>
      </c>
      <c r="X162" s="25" t="str">
        <f t="shared" si="11"/>
        <v>APP</v>
      </c>
      <c r="Y162" s="25" t="str">
        <f t="shared" si="12"/>
        <v>PREM.</v>
      </c>
    </row>
    <row r="163" spans="1:25" ht="17.5" customHeight="1" thickBot="1">
      <c r="A163" s="12" t="s">
        <v>260</v>
      </c>
      <c r="B163" s="13">
        <v>45635</v>
      </c>
      <c r="C163" s="12" t="s">
        <v>510</v>
      </c>
      <c r="D163" s="12" t="s">
        <v>76</v>
      </c>
      <c r="E163" s="12" t="s">
        <v>750</v>
      </c>
      <c r="F163" s="12" t="s">
        <v>66</v>
      </c>
      <c r="G163" s="12" t="s">
        <v>27</v>
      </c>
      <c r="H163" s="14">
        <v>4</v>
      </c>
      <c r="I163" s="14">
        <v>79.989999999999995</v>
      </c>
      <c r="J163" s="12" t="s">
        <v>42</v>
      </c>
      <c r="K163" s="12" t="s">
        <v>46</v>
      </c>
      <c r="L163" s="12" t="s">
        <v>30</v>
      </c>
      <c r="M163" s="13">
        <v>44921</v>
      </c>
      <c r="N163" s="17">
        <v>319.95999999999998</v>
      </c>
      <c r="O163" s="18">
        <f t="shared" ca="1" si="9"/>
        <v>3</v>
      </c>
      <c r="P163" s="19">
        <f t="shared" si="10"/>
        <v>45657</v>
      </c>
      <c r="X163" s="25" t="str">
        <f t="shared" si="11"/>
        <v>APP</v>
      </c>
      <c r="Y163" s="25" t="str">
        <f t="shared" si="12"/>
        <v>STD.</v>
      </c>
    </row>
    <row r="164" spans="1:25" ht="17.5" customHeight="1" thickBot="1">
      <c r="A164" s="12" t="s">
        <v>261</v>
      </c>
      <c r="B164" s="13">
        <v>45636</v>
      </c>
      <c r="C164" s="12" t="s">
        <v>511</v>
      </c>
      <c r="D164" s="12" t="s">
        <v>69</v>
      </c>
      <c r="E164" s="12" t="s">
        <v>751</v>
      </c>
      <c r="F164" s="12" t="s">
        <v>66</v>
      </c>
      <c r="G164" s="12" t="s">
        <v>27</v>
      </c>
      <c r="H164" s="14">
        <v>3</v>
      </c>
      <c r="I164" s="14">
        <v>79.989999999999995</v>
      </c>
      <c r="J164" s="12" t="s">
        <v>42</v>
      </c>
      <c r="K164" s="12" t="s">
        <v>46</v>
      </c>
      <c r="L164" s="12" t="s">
        <v>30</v>
      </c>
      <c r="M164" s="13">
        <v>44779</v>
      </c>
      <c r="N164" s="17">
        <v>239.97</v>
      </c>
      <c r="O164" s="18">
        <f t="shared" ca="1" si="9"/>
        <v>3</v>
      </c>
      <c r="P164" s="19">
        <f t="shared" si="10"/>
        <v>45657</v>
      </c>
      <c r="X164" s="25" t="str">
        <f t="shared" si="11"/>
        <v>APP</v>
      </c>
      <c r="Y164" s="25" t="str">
        <f t="shared" si="12"/>
        <v>STD.</v>
      </c>
    </row>
    <row r="165" spans="1:25" ht="17.5" customHeight="1" thickBot="1">
      <c r="A165" s="12" t="s">
        <v>262</v>
      </c>
      <c r="B165" s="13">
        <v>45638</v>
      </c>
      <c r="C165" s="12" t="s">
        <v>512</v>
      </c>
      <c r="D165" s="12" t="s">
        <v>49</v>
      </c>
      <c r="E165" s="12" t="s">
        <v>752</v>
      </c>
      <c r="F165" s="12" t="s">
        <v>45</v>
      </c>
      <c r="G165" s="12" t="s">
        <v>17</v>
      </c>
      <c r="H165" s="14">
        <v>2</v>
      </c>
      <c r="I165" s="14">
        <v>899.99</v>
      </c>
      <c r="J165" s="12" t="s">
        <v>18</v>
      </c>
      <c r="K165" s="12" t="s">
        <v>32</v>
      </c>
      <c r="L165" s="12" t="s">
        <v>20</v>
      </c>
      <c r="M165" s="13">
        <v>44406</v>
      </c>
      <c r="N165" s="17">
        <v>1799.98</v>
      </c>
      <c r="O165" s="18">
        <f t="shared" ca="1" si="9"/>
        <v>4</v>
      </c>
      <c r="P165" s="19">
        <f t="shared" si="10"/>
        <v>45657</v>
      </c>
      <c r="X165" s="25" t="str">
        <f t="shared" si="11"/>
        <v>ELE</v>
      </c>
      <c r="Y165" s="25" t="str">
        <f t="shared" si="12"/>
        <v>BAS.</v>
      </c>
    </row>
    <row r="166" spans="1:25" ht="17.5" customHeight="1" thickBot="1">
      <c r="A166" s="12" t="s">
        <v>263</v>
      </c>
      <c r="B166" s="13">
        <v>45641</v>
      </c>
      <c r="C166" s="12" t="s">
        <v>513</v>
      </c>
      <c r="D166" s="12" t="s">
        <v>84</v>
      </c>
      <c r="E166" s="12" t="s">
        <v>753</v>
      </c>
      <c r="F166" s="12" t="s">
        <v>35</v>
      </c>
      <c r="G166" s="12" t="s">
        <v>36</v>
      </c>
      <c r="H166" s="14">
        <v>1</v>
      </c>
      <c r="I166" s="14">
        <v>149.99</v>
      </c>
      <c r="J166" s="12" t="s">
        <v>42</v>
      </c>
      <c r="K166" s="12" t="s">
        <v>46</v>
      </c>
      <c r="L166" s="12" t="s">
        <v>30</v>
      </c>
      <c r="M166" s="13">
        <v>45200</v>
      </c>
      <c r="N166" s="17">
        <v>149.99</v>
      </c>
      <c r="O166" s="18">
        <f t="shared" ca="1" si="9"/>
        <v>2</v>
      </c>
      <c r="P166" s="19">
        <f t="shared" si="10"/>
        <v>45657</v>
      </c>
      <c r="X166" s="25" t="str">
        <f t="shared" si="11"/>
        <v>FUR</v>
      </c>
      <c r="Y166" s="25" t="str">
        <f t="shared" si="12"/>
        <v>STD.</v>
      </c>
    </row>
    <row r="167" spans="1:25" ht="17.5" customHeight="1" thickBot="1">
      <c r="A167" s="12" t="s">
        <v>264</v>
      </c>
      <c r="B167" s="13">
        <v>45641</v>
      </c>
      <c r="C167" s="12" t="s">
        <v>514</v>
      </c>
      <c r="D167" s="12" t="s">
        <v>75</v>
      </c>
      <c r="E167" s="12" t="s">
        <v>754</v>
      </c>
      <c r="F167" s="12" t="s">
        <v>62</v>
      </c>
      <c r="G167" s="12" t="s">
        <v>36</v>
      </c>
      <c r="H167" s="14">
        <v>2</v>
      </c>
      <c r="I167" s="14">
        <v>299.99</v>
      </c>
      <c r="J167" s="12" t="s">
        <v>18</v>
      </c>
      <c r="K167" s="12" t="s">
        <v>46</v>
      </c>
      <c r="L167" s="12" t="s">
        <v>23</v>
      </c>
      <c r="M167" s="13">
        <v>44724</v>
      </c>
      <c r="N167" s="17">
        <v>599.98</v>
      </c>
      <c r="O167" s="18">
        <f t="shared" ca="1" si="9"/>
        <v>3</v>
      </c>
      <c r="P167" s="19">
        <f t="shared" si="10"/>
        <v>45657</v>
      </c>
      <c r="X167" s="25" t="str">
        <f t="shared" si="11"/>
        <v>FUR</v>
      </c>
      <c r="Y167" s="25" t="str">
        <f t="shared" si="12"/>
        <v>PREM.</v>
      </c>
    </row>
    <row r="168" spans="1:25" ht="17.5" customHeight="1" thickBot="1">
      <c r="A168" s="12" t="s">
        <v>265</v>
      </c>
      <c r="B168" s="13">
        <v>45644</v>
      </c>
      <c r="C168" s="12" t="s">
        <v>515</v>
      </c>
      <c r="D168" s="12" t="s">
        <v>74</v>
      </c>
      <c r="E168" s="12" t="s">
        <v>755</v>
      </c>
      <c r="F168" s="12" t="s">
        <v>26</v>
      </c>
      <c r="G168" s="12" t="s">
        <v>27</v>
      </c>
      <c r="H168" s="14">
        <v>2</v>
      </c>
      <c r="I168" s="14">
        <v>59.99</v>
      </c>
      <c r="J168" s="12" t="s">
        <v>18</v>
      </c>
      <c r="K168" s="12" t="s">
        <v>38</v>
      </c>
      <c r="L168" s="12" t="s">
        <v>20</v>
      </c>
      <c r="M168" s="13">
        <v>45191</v>
      </c>
      <c r="N168" s="17">
        <v>119.98</v>
      </c>
      <c r="O168" s="18">
        <f t="shared" ca="1" si="9"/>
        <v>2</v>
      </c>
      <c r="P168" s="19">
        <f t="shared" si="10"/>
        <v>45657</v>
      </c>
      <c r="X168" s="25" t="str">
        <f t="shared" si="11"/>
        <v>APP</v>
      </c>
      <c r="Y168" s="25" t="str">
        <f t="shared" si="12"/>
        <v>BAS.</v>
      </c>
    </row>
    <row r="169" spans="1:25" ht="17.5" customHeight="1" thickBot="1">
      <c r="A169" s="12" t="s">
        <v>266</v>
      </c>
      <c r="B169" s="13">
        <v>45645</v>
      </c>
      <c r="C169" s="12" t="s">
        <v>516</v>
      </c>
      <c r="D169" s="12" t="s">
        <v>84</v>
      </c>
      <c r="E169" s="12" t="s">
        <v>756</v>
      </c>
      <c r="F169" s="12" t="s">
        <v>68</v>
      </c>
      <c r="G169" s="12" t="s">
        <v>17</v>
      </c>
      <c r="H169" s="14">
        <v>1</v>
      </c>
      <c r="I169" s="14">
        <v>89.99</v>
      </c>
      <c r="J169" s="12" t="s">
        <v>42</v>
      </c>
      <c r="K169" s="12" t="s">
        <v>19</v>
      </c>
      <c r="L169" s="12" t="s">
        <v>30</v>
      </c>
      <c r="M169" s="13">
        <v>44760</v>
      </c>
      <c r="N169" s="17">
        <v>89.99</v>
      </c>
      <c r="O169" s="18">
        <f t="shared" ca="1" si="9"/>
        <v>3</v>
      </c>
      <c r="P169" s="19">
        <f t="shared" si="10"/>
        <v>45657</v>
      </c>
      <c r="X169" s="25" t="str">
        <f t="shared" si="11"/>
        <v>ELE</v>
      </c>
      <c r="Y169" s="25" t="str">
        <f t="shared" si="12"/>
        <v>STD.</v>
      </c>
    </row>
    <row r="170" spans="1:25" ht="17.5" customHeight="1" thickBot="1">
      <c r="A170" s="12" t="s">
        <v>267</v>
      </c>
      <c r="B170" s="13">
        <v>45645</v>
      </c>
      <c r="C170" s="12" t="s">
        <v>517</v>
      </c>
      <c r="D170" s="12" t="s">
        <v>78</v>
      </c>
      <c r="E170" s="12" t="s">
        <v>757</v>
      </c>
      <c r="F170" s="12" t="s">
        <v>45</v>
      </c>
      <c r="G170" s="12" t="s">
        <v>17</v>
      </c>
      <c r="H170" s="14">
        <v>5</v>
      </c>
      <c r="I170" s="14">
        <v>899.99</v>
      </c>
      <c r="J170" s="12" t="s">
        <v>42</v>
      </c>
      <c r="K170" s="12" t="s">
        <v>46</v>
      </c>
      <c r="L170" s="12" t="s">
        <v>30</v>
      </c>
      <c r="M170" s="13">
        <v>44625</v>
      </c>
      <c r="N170" s="17">
        <v>4499.95</v>
      </c>
      <c r="O170" s="18">
        <f t="shared" ca="1" si="9"/>
        <v>3</v>
      </c>
      <c r="P170" s="19">
        <f t="shared" si="10"/>
        <v>45657</v>
      </c>
      <c r="X170" s="25" t="str">
        <f t="shared" si="11"/>
        <v>ELE</v>
      </c>
      <c r="Y170" s="25" t="str">
        <f t="shared" si="12"/>
        <v>STD.</v>
      </c>
    </row>
    <row r="171" spans="1:25" ht="17.5" customHeight="1" thickBot="1">
      <c r="A171" s="12" t="s">
        <v>268</v>
      </c>
      <c r="B171" s="13">
        <v>45646</v>
      </c>
      <c r="C171" s="12" t="s">
        <v>518</v>
      </c>
      <c r="D171" s="12" t="s">
        <v>33</v>
      </c>
      <c r="E171" s="12" t="s">
        <v>758</v>
      </c>
      <c r="F171" s="12" t="s">
        <v>35</v>
      </c>
      <c r="G171" s="12" t="s">
        <v>36</v>
      </c>
      <c r="H171" s="14">
        <v>2</v>
      </c>
      <c r="I171" s="14">
        <v>149.99</v>
      </c>
      <c r="J171" s="12" t="s">
        <v>18</v>
      </c>
      <c r="K171" s="12" t="s">
        <v>29</v>
      </c>
      <c r="L171" s="12" t="s">
        <v>20</v>
      </c>
      <c r="M171" s="13">
        <v>45239</v>
      </c>
      <c r="N171" s="17">
        <v>299.98</v>
      </c>
      <c r="O171" s="18">
        <f t="shared" ca="1" si="9"/>
        <v>2</v>
      </c>
      <c r="P171" s="19">
        <f t="shared" si="10"/>
        <v>45657</v>
      </c>
      <c r="X171" s="25" t="str">
        <f t="shared" si="11"/>
        <v>FUR</v>
      </c>
      <c r="Y171" s="25" t="str">
        <f t="shared" si="12"/>
        <v>BAS.</v>
      </c>
    </row>
    <row r="172" spans="1:25" ht="17.5" customHeight="1" thickBot="1">
      <c r="A172" s="12" t="s">
        <v>269</v>
      </c>
      <c r="B172" s="13">
        <v>45648</v>
      </c>
      <c r="C172" s="12" t="s">
        <v>519</v>
      </c>
      <c r="D172" s="12" t="s">
        <v>64</v>
      </c>
      <c r="E172" s="12" t="s">
        <v>759</v>
      </c>
      <c r="F172" s="12" t="s">
        <v>40</v>
      </c>
      <c r="G172" s="12" t="s">
        <v>17</v>
      </c>
      <c r="H172" s="14">
        <v>2</v>
      </c>
      <c r="I172" s="14">
        <v>149.99</v>
      </c>
      <c r="J172" s="12" t="s">
        <v>42</v>
      </c>
      <c r="K172" s="12" t="s">
        <v>38</v>
      </c>
      <c r="L172" s="12" t="s">
        <v>23</v>
      </c>
      <c r="M172" s="13">
        <v>45280</v>
      </c>
      <c r="N172" s="17">
        <v>299.98</v>
      </c>
      <c r="O172" s="18">
        <f t="shared" ca="1" si="9"/>
        <v>2</v>
      </c>
      <c r="P172" s="19">
        <f t="shared" si="10"/>
        <v>45657</v>
      </c>
      <c r="X172" s="25" t="str">
        <f t="shared" si="11"/>
        <v>ELE</v>
      </c>
      <c r="Y172" s="25" t="str">
        <f t="shared" si="12"/>
        <v>PREM.</v>
      </c>
    </row>
    <row r="173" spans="1:25" ht="17.5" customHeight="1" thickBot="1">
      <c r="A173" s="12" t="s">
        <v>270</v>
      </c>
      <c r="B173" s="13">
        <v>45648</v>
      </c>
      <c r="C173" s="12" t="s">
        <v>520</v>
      </c>
      <c r="D173" s="12" t="s">
        <v>84</v>
      </c>
      <c r="E173" s="12" t="s">
        <v>760</v>
      </c>
      <c r="F173" s="12" t="s">
        <v>35</v>
      </c>
      <c r="G173" s="12" t="s">
        <v>36</v>
      </c>
      <c r="H173" s="14">
        <v>3</v>
      </c>
      <c r="I173" s="14">
        <v>149.99</v>
      </c>
      <c r="J173" s="12" t="s">
        <v>42</v>
      </c>
      <c r="K173" s="12" t="s">
        <v>32</v>
      </c>
      <c r="L173" s="12" t="s">
        <v>30</v>
      </c>
      <c r="M173" s="13">
        <v>44522</v>
      </c>
      <c r="N173" s="17">
        <v>449.97</v>
      </c>
      <c r="O173" s="18">
        <f t="shared" ca="1" si="9"/>
        <v>4</v>
      </c>
      <c r="P173" s="19">
        <f t="shared" si="10"/>
        <v>45657</v>
      </c>
      <c r="X173" s="25" t="str">
        <f t="shared" si="11"/>
        <v>FUR</v>
      </c>
      <c r="Y173" s="25" t="str">
        <f t="shared" si="12"/>
        <v>STD.</v>
      </c>
    </row>
    <row r="174" spans="1:25" ht="17.5" customHeight="1" thickBot="1">
      <c r="A174" s="12" t="s">
        <v>271</v>
      </c>
      <c r="B174" s="13">
        <v>45649</v>
      </c>
      <c r="C174" s="12" t="s">
        <v>521</v>
      </c>
      <c r="D174" s="12" t="s">
        <v>24</v>
      </c>
      <c r="E174" s="12" t="s">
        <v>761</v>
      </c>
      <c r="F174" s="12" t="s">
        <v>62</v>
      </c>
      <c r="G174" s="12" t="s">
        <v>36</v>
      </c>
      <c r="H174" s="14">
        <v>2</v>
      </c>
      <c r="I174" s="14">
        <v>299.99</v>
      </c>
      <c r="J174" s="12" t="s">
        <v>28</v>
      </c>
      <c r="K174" s="12" t="s">
        <v>29</v>
      </c>
      <c r="L174" s="12" t="s">
        <v>20</v>
      </c>
      <c r="M174" s="13">
        <v>44721</v>
      </c>
      <c r="N174" s="17">
        <v>599.98</v>
      </c>
      <c r="O174" s="18">
        <f t="shared" ca="1" si="9"/>
        <v>3</v>
      </c>
      <c r="P174" s="19">
        <f t="shared" si="10"/>
        <v>45657</v>
      </c>
      <c r="X174" s="25" t="str">
        <f t="shared" si="11"/>
        <v>FUR</v>
      </c>
      <c r="Y174" s="25" t="str">
        <f t="shared" si="12"/>
        <v>BAS.</v>
      </c>
    </row>
    <row r="175" spans="1:25" ht="17.5" customHeight="1" thickBot="1">
      <c r="A175" s="12" t="s">
        <v>272</v>
      </c>
      <c r="B175" s="13">
        <v>45654</v>
      </c>
      <c r="C175" s="12" t="s">
        <v>522</v>
      </c>
      <c r="D175" s="12" t="s">
        <v>33</v>
      </c>
      <c r="E175" s="12" t="s">
        <v>762</v>
      </c>
      <c r="F175" s="12" t="s">
        <v>62</v>
      </c>
      <c r="G175" s="12" t="s">
        <v>36</v>
      </c>
      <c r="H175" s="14">
        <v>2</v>
      </c>
      <c r="I175" s="14">
        <v>299.99</v>
      </c>
      <c r="J175" s="12" t="s">
        <v>18</v>
      </c>
      <c r="K175" s="12" t="s">
        <v>38</v>
      </c>
      <c r="L175" s="12" t="s">
        <v>20</v>
      </c>
      <c r="M175" s="13">
        <v>44771</v>
      </c>
      <c r="N175" s="17">
        <v>599.98</v>
      </c>
      <c r="O175" s="18">
        <f t="shared" ca="1" si="9"/>
        <v>3</v>
      </c>
      <c r="P175" s="19">
        <f t="shared" si="10"/>
        <v>45657</v>
      </c>
      <c r="X175" s="25" t="str">
        <f t="shared" si="11"/>
        <v>FUR</v>
      </c>
      <c r="Y175" s="25" t="str">
        <f t="shared" si="12"/>
        <v>BAS.</v>
      </c>
    </row>
    <row r="176" spans="1:25" ht="17.5" customHeight="1" thickBot="1">
      <c r="A176" s="12" t="s">
        <v>273</v>
      </c>
      <c r="B176" s="13">
        <v>45654</v>
      </c>
      <c r="C176" s="12" t="s">
        <v>523</v>
      </c>
      <c r="D176" s="12" t="s">
        <v>69</v>
      </c>
      <c r="E176" s="12" t="s">
        <v>763</v>
      </c>
      <c r="F176" s="12" t="s">
        <v>72</v>
      </c>
      <c r="G176" s="12" t="s">
        <v>36</v>
      </c>
      <c r="H176" s="14">
        <v>4</v>
      </c>
      <c r="I176" s="14">
        <v>199.99</v>
      </c>
      <c r="J176" s="12" t="s">
        <v>22</v>
      </c>
      <c r="K176" s="12" t="s">
        <v>19</v>
      </c>
      <c r="L176" s="12" t="s">
        <v>20</v>
      </c>
      <c r="M176" s="13">
        <v>44523</v>
      </c>
      <c r="N176" s="17">
        <v>799.96</v>
      </c>
      <c r="O176" s="18">
        <f t="shared" ca="1" si="9"/>
        <v>4</v>
      </c>
      <c r="P176" s="19">
        <f t="shared" si="10"/>
        <v>45657</v>
      </c>
      <c r="X176" s="25" t="str">
        <f t="shared" si="11"/>
        <v>FUR</v>
      </c>
      <c r="Y176" s="25" t="str">
        <f t="shared" si="12"/>
        <v>BAS.</v>
      </c>
    </row>
    <row r="177" spans="1:25" ht="17.5" customHeight="1" thickBot="1">
      <c r="A177" s="12" t="s">
        <v>274</v>
      </c>
      <c r="B177" s="13">
        <v>45655</v>
      </c>
      <c r="C177" s="12" t="s">
        <v>524</v>
      </c>
      <c r="D177" s="12" t="s">
        <v>43</v>
      </c>
      <c r="E177" s="12" t="s">
        <v>764</v>
      </c>
      <c r="F177" s="12" t="s">
        <v>68</v>
      </c>
      <c r="G177" s="12" t="s">
        <v>17</v>
      </c>
      <c r="H177" s="14">
        <v>1</v>
      </c>
      <c r="I177" s="14">
        <v>89.99</v>
      </c>
      <c r="J177" s="12" t="s">
        <v>22</v>
      </c>
      <c r="K177" s="12" t="s">
        <v>29</v>
      </c>
      <c r="L177" s="12" t="s">
        <v>23</v>
      </c>
      <c r="M177" s="13">
        <v>44591</v>
      </c>
      <c r="N177" s="17">
        <v>89.99</v>
      </c>
      <c r="O177" s="18">
        <f t="shared" ca="1" si="9"/>
        <v>4</v>
      </c>
      <c r="P177" s="19">
        <f t="shared" si="10"/>
        <v>45657</v>
      </c>
      <c r="X177" s="25" t="str">
        <f t="shared" si="11"/>
        <v>ELE</v>
      </c>
      <c r="Y177" s="25" t="str">
        <f t="shared" si="12"/>
        <v>PREM.</v>
      </c>
    </row>
    <row r="178" spans="1:25" ht="17.5" customHeight="1" thickBot="1">
      <c r="A178" s="12" t="s">
        <v>275</v>
      </c>
      <c r="B178" s="13">
        <v>45655</v>
      </c>
      <c r="C178" s="12" t="s">
        <v>525</v>
      </c>
      <c r="D178" s="12" t="s">
        <v>63</v>
      </c>
      <c r="E178" s="12" t="s">
        <v>765</v>
      </c>
      <c r="F178" s="12" t="s">
        <v>35</v>
      </c>
      <c r="G178" s="12" t="s">
        <v>36</v>
      </c>
      <c r="H178" s="14">
        <v>5</v>
      </c>
      <c r="I178" s="14">
        <v>149.99</v>
      </c>
      <c r="J178" s="12" t="s">
        <v>18</v>
      </c>
      <c r="K178" s="12" t="s">
        <v>19</v>
      </c>
      <c r="L178" s="12" t="s">
        <v>23</v>
      </c>
      <c r="M178" s="13">
        <v>45347</v>
      </c>
      <c r="N178" s="17">
        <v>749.95</v>
      </c>
      <c r="O178" s="18">
        <f t="shared" ca="1" si="9"/>
        <v>1</v>
      </c>
      <c r="P178" s="19">
        <f t="shared" si="10"/>
        <v>45657</v>
      </c>
      <c r="X178" s="25" t="str">
        <f t="shared" si="11"/>
        <v>FUR</v>
      </c>
      <c r="Y178" s="25" t="str">
        <f t="shared" si="12"/>
        <v>PREM.</v>
      </c>
    </row>
    <row r="179" spans="1:25" ht="17.5" customHeight="1" thickBot="1">
      <c r="A179" s="12" t="s">
        <v>276</v>
      </c>
      <c r="B179" s="13">
        <v>45657</v>
      </c>
      <c r="C179" s="12" t="s">
        <v>526</v>
      </c>
      <c r="D179" s="12" t="s">
        <v>55</v>
      </c>
      <c r="E179" s="12" t="s">
        <v>766</v>
      </c>
      <c r="F179" s="12" t="s">
        <v>45</v>
      </c>
      <c r="G179" s="12" t="s">
        <v>17</v>
      </c>
      <c r="H179" s="14">
        <v>1</v>
      </c>
      <c r="I179" s="14">
        <v>899.99</v>
      </c>
      <c r="J179" s="12" t="s">
        <v>28</v>
      </c>
      <c r="K179" s="12" t="s">
        <v>32</v>
      </c>
      <c r="L179" s="12" t="s">
        <v>23</v>
      </c>
      <c r="M179" s="13">
        <v>45050</v>
      </c>
      <c r="N179" s="17">
        <v>899.99</v>
      </c>
      <c r="O179" s="18">
        <f t="shared" ca="1" si="9"/>
        <v>2</v>
      </c>
      <c r="P179" s="19">
        <f t="shared" si="10"/>
        <v>45657</v>
      </c>
      <c r="X179" s="25" t="str">
        <f t="shared" si="11"/>
        <v>ELE</v>
      </c>
      <c r="Y179" s="25" t="str">
        <f t="shared" si="12"/>
        <v>PREM.</v>
      </c>
    </row>
    <row r="180" spans="1:25" ht="17.5" customHeight="1" thickBot="1">
      <c r="A180" s="12" t="s">
        <v>277</v>
      </c>
      <c r="B180" s="13">
        <v>45660</v>
      </c>
      <c r="C180" s="12" t="s">
        <v>527</v>
      </c>
      <c r="D180" s="12" t="s">
        <v>78</v>
      </c>
      <c r="E180" s="12" t="s">
        <v>767</v>
      </c>
      <c r="F180" s="12" t="s">
        <v>68</v>
      </c>
      <c r="G180" s="12" t="s">
        <v>17</v>
      </c>
      <c r="H180" s="14">
        <v>2</v>
      </c>
      <c r="I180" s="14">
        <v>89.99</v>
      </c>
      <c r="J180" s="12" t="s">
        <v>22</v>
      </c>
      <c r="K180" s="12" t="s">
        <v>29</v>
      </c>
      <c r="L180" s="12" t="s">
        <v>23</v>
      </c>
      <c r="M180" s="13">
        <v>44564</v>
      </c>
      <c r="N180" s="17">
        <v>179.98</v>
      </c>
      <c r="O180" s="18">
        <f t="shared" ca="1" si="9"/>
        <v>4</v>
      </c>
      <c r="P180" s="19">
        <f t="shared" si="10"/>
        <v>45688</v>
      </c>
      <c r="X180" s="25" t="str">
        <f t="shared" si="11"/>
        <v>ELE</v>
      </c>
      <c r="Y180" s="25" t="str">
        <f t="shared" si="12"/>
        <v>PREM.</v>
      </c>
    </row>
    <row r="181" spans="1:25" ht="17.5" customHeight="1" thickBot="1">
      <c r="A181" s="12" t="s">
        <v>278</v>
      </c>
      <c r="B181" s="13">
        <v>45661</v>
      </c>
      <c r="C181" s="12" t="s">
        <v>528</v>
      </c>
      <c r="D181" s="12" t="s">
        <v>97</v>
      </c>
      <c r="E181" s="12" t="s">
        <v>768</v>
      </c>
      <c r="F181" s="12" t="s">
        <v>45</v>
      </c>
      <c r="G181" s="12" t="s">
        <v>17</v>
      </c>
      <c r="H181" s="14">
        <v>1</v>
      </c>
      <c r="I181" s="14">
        <v>899.99</v>
      </c>
      <c r="J181" s="12" t="s">
        <v>28</v>
      </c>
      <c r="K181" s="12" t="s">
        <v>32</v>
      </c>
      <c r="L181" s="12" t="s">
        <v>30</v>
      </c>
      <c r="M181" s="13">
        <v>44752</v>
      </c>
      <c r="N181" s="17">
        <v>899.99</v>
      </c>
      <c r="O181" s="18">
        <f t="shared" ca="1" si="9"/>
        <v>3</v>
      </c>
      <c r="P181" s="19">
        <f t="shared" si="10"/>
        <v>45688</v>
      </c>
      <c r="X181" s="25" t="str">
        <f t="shared" si="11"/>
        <v>ELE</v>
      </c>
      <c r="Y181" s="25" t="str">
        <f t="shared" si="12"/>
        <v>STD.</v>
      </c>
    </row>
    <row r="182" spans="1:25" ht="17.5" customHeight="1" thickBot="1">
      <c r="A182" s="12" t="s">
        <v>279</v>
      </c>
      <c r="B182" s="13">
        <v>45663</v>
      </c>
      <c r="C182" s="12" t="s">
        <v>529</v>
      </c>
      <c r="D182" s="12" t="s">
        <v>73</v>
      </c>
      <c r="E182" s="12" t="s">
        <v>769</v>
      </c>
      <c r="F182" s="12" t="s">
        <v>40</v>
      </c>
      <c r="G182" s="12" t="s">
        <v>17</v>
      </c>
      <c r="H182" s="14">
        <v>5</v>
      </c>
      <c r="I182" s="14">
        <v>149.99</v>
      </c>
      <c r="J182" s="12" t="s">
        <v>28</v>
      </c>
      <c r="K182" s="12" t="s">
        <v>46</v>
      </c>
      <c r="L182" s="12" t="s">
        <v>23</v>
      </c>
      <c r="M182" s="13">
        <v>44824</v>
      </c>
      <c r="N182" s="17">
        <v>749.95</v>
      </c>
      <c r="O182" s="18">
        <f t="shared" ca="1" si="9"/>
        <v>3</v>
      </c>
      <c r="P182" s="19">
        <f t="shared" si="10"/>
        <v>45688</v>
      </c>
      <c r="X182" s="25" t="str">
        <f t="shared" si="11"/>
        <v>ELE</v>
      </c>
      <c r="Y182" s="25" t="str">
        <f t="shared" si="12"/>
        <v>PREM.</v>
      </c>
    </row>
    <row r="183" spans="1:25" ht="17.5" customHeight="1" thickBot="1">
      <c r="A183" s="12" t="s">
        <v>280</v>
      </c>
      <c r="B183" s="13">
        <v>45663</v>
      </c>
      <c r="C183" s="12" t="s">
        <v>530</v>
      </c>
      <c r="D183" s="12" t="s">
        <v>33</v>
      </c>
      <c r="E183" s="12" t="s">
        <v>770</v>
      </c>
      <c r="F183" s="12" t="s">
        <v>62</v>
      </c>
      <c r="G183" s="12" t="s">
        <v>36</v>
      </c>
      <c r="H183" s="14">
        <v>3</v>
      </c>
      <c r="I183" s="14">
        <v>299.99</v>
      </c>
      <c r="J183" s="12" t="s">
        <v>18</v>
      </c>
      <c r="K183" s="12" t="s">
        <v>29</v>
      </c>
      <c r="L183" s="12" t="s">
        <v>30</v>
      </c>
      <c r="M183" s="13">
        <v>44422</v>
      </c>
      <c r="N183" s="17">
        <v>899.97</v>
      </c>
      <c r="O183" s="18">
        <f t="shared" ca="1" si="9"/>
        <v>4</v>
      </c>
      <c r="P183" s="19">
        <f t="shared" si="10"/>
        <v>45688</v>
      </c>
      <c r="X183" s="25" t="str">
        <f t="shared" si="11"/>
        <v>FUR</v>
      </c>
      <c r="Y183" s="25" t="str">
        <f t="shared" si="12"/>
        <v>STD.</v>
      </c>
    </row>
    <row r="184" spans="1:25" ht="17.5" customHeight="1" thickBot="1">
      <c r="A184" s="12" t="s">
        <v>281</v>
      </c>
      <c r="B184" s="13">
        <v>45666</v>
      </c>
      <c r="C184" s="12" t="s">
        <v>531</v>
      </c>
      <c r="D184" s="12" t="s">
        <v>47</v>
      </c>
      <c r="E184" s="12" t="s">
        <v>771</v>
      </c>
      <c r="F184" s="12" t="s">
        <v>53</v>
      </c>
      <c r="G184" s="12" t="s">
        <v>17</v>
      </c>
      <c r="H184" s="14">
        <v>3</v>
      </c>
      <c r="I184" s="14">
        <v>699.99</v>
      </c>
      <c r="J184" s="12" t="s">
        <v>22</v>
      </c>
      <c r="K184" s="12" t="s">
        <v>19</v>
      </c>
      <c r="L184" s="12" t="s">
        <v>23</v>
      </c>
      <c r="M184" s="13">
        <v>45105</v>
      </c>
      <c r="N184" s="17">
        <v>2099.9699999999998</v>
      </c>
      <c r="O184" s="18">
        <f t="shared" ca="1" si="9"/>
        <v>2</v>
      </c>
      <c r="P184" s="19">
        <f t="shared" si="10"/>
        <v>45688</v>
      </c>
      <c r="X184" s="25" t="str">
        <f t="shared" si="11"/>
        <v>ELE</v>
      </c>
      <c r="Y184" s="25" t="str">
        <f t="shared" si="12"/>
        <v>PREM.</v>
      </c>
    </row>
    <row r="185" spans="1:25" ht="17.5" customHeight="1" thickBot="1">
      <c r="A185" s="12" t="s">
        <v>282</v>
      </c>
      <c r="B185" s="13">
        <v>45667</v>
      </c>
      <c r="C185" s="12" t="s">
        <v>532</v>
      </c>
      <c r="D185" s="12" t="s">
        <v>63</v>
      </c>
      <c r="E185" s="12" t="s">
        <v>772</v>
      </c>
      <c r="F185" s="12" t="s">
        <v>72</v>
      </c>
      <c r="G185" s="12" t="s">
        <v>36</v>
      </c>
      <c r="H185" s="14">
        <v>5</v>
      </c>
      <c r="I185" s="14">
        <v>199.99</v>
      </c>
      <c r="J185" s="12" t="s">
        <v>28</v>
      </c>
      <c r="K185" s="12" t="s">
        <v>19</v>
      </c>
      <c r="L185" s="12" t="s">
        <v>30</v>
      </c>
      <c r="M185" s="13">
        <v>44633</v>
      </c>
      <c r="N185" s="17">
        <v>999.95</v>
      </c>
      <c r="O185" s="18">
        <f t="shared" ca="1" si="9"/>
        <v>3</v>
      </c>
      <c r="P185" s="19">
        <f t="shared" si="10"/>
        <v>45688</v>
      </c>
      <c r="X185" s="25" t="str">
        <f t="shared" si="11"/>
        <v>FUR</v>
      </c>
      <c r="Y185" s="25" t="str">
        <f t="shared" si="12"/>
        <v>STD.</v>
      </c>
    </row>
    <row r="186" spans="1:25" ht="17.5" customHeight="1" thickBot="1">
      <c r="A186" s="12" t="s">
        <v>283</v>
      </c>
      <c r="B186" s="13">
        <v>45667</v>
      </c>
      <c r="C186" s="12" t="s">
        <v>533</v>
      </c>
      <c r="D186" s="12" t="s">
        <v>57</v>
      </c>
      <c r="E186" s="12" t="s">
        <v>773</v>
      </c>
      <c r="F186" s="12" t="s">
        <v>16</v>
      </c>
      <c r="G186" s="12" t="s">
        <v>17</v>
      </c>
      <c r="H186" s="14">
        <v>5</v>
      </c>
      <c r="I186" s="14">
        <v>249.99</v>
      </c>
      <c r="J186" s="12" t="s">
        <v>22</v>
      </c>
      <c r="K186" s="12" t="s">
        <v>29</v>
      </c>
      <c r="L186" s="12" t="s">
        <v>20</v>
      </c>
      <c r="M186" s="13">
        <v>45330</v>
      </c>
      <c r="N186" s="17">
        <v>1249.95</v>
      </c>
      <c r="O186" s="18">
        <f t="shared" ca="1" si="9"/>
        <v>2</v>
      </c>
      <c r="P186" s="19">
        <f t="shared" si="10"/>
        <v>45688</v>
      </c>
      <c r="X186" s="25" t="str">
        <f t="shared" si="11"/>
        <v>ELE</v>
      </c>
      <c r="Y186" s="25" t="str">
        <f t="shared" si="12"/>
        <v>BAS.</v>
      </c>
    </row>
    <row r="187" spans="1:25" ht="17.5" customHeight="1" thickBot="1">
      <c r="A187" s="12" t="s">
        <v>284</v>
      </c>
      <c r="B187" s="13">
        <v>45668</v>
      </c>
      <c r="C187" s="12" t="s">
        <v>534</v>
      </c>
      <c r="D187" s="12" t="s">
        <v>75</v>
      </c>
      <c r="E187" s="12" t="s">
        <v>774</v>
      </c>
      <c r="F187" s="12" t="s">
        <v>40</v>
      </c>
      <c r="G187" s="12" t="s">
        <v>17</v>
      </c>
      <c r="H187" s="14">
        <v>4</v>
      </c>
      <c r="I187" s="14">
        <v>149.99</v>
      </c>
      <c r="J187" s="12" t="s">
        <v>42</v>
      </c>
      <c r="K187" s="12" t="s">
        <v>46</v>
      </c>
      <c r="L187" s="12" t="s">
        <v>30</v>
      </c>
      <c r="M187" s="13">
        <v>44536</v>
      </c>
      <c r="N187" s="17">
        <v>599.96</v>
      </c>
      <c r="O187" s="18">
        <f t="shared" ca="1" si="9"/>
        <v>4</v>
      </c>
      <c r="P187" s="19">
        <f t="shared" si="10"/>
        <v>45688</v>
      </c>
      <c r="X187" s="25" t="str">
        <f t="shared" si="11"/>
        <v>ELE</v>
      </c>
      <c r="Y187" s="25" t="str">
        <f t="shared" si="12"/>
        <v>STD.</v>
      </c>
    </row>
    <row r="188" spans="1:25" ht="17.5" customHeight="1" thickBot="1">
      <c r="A188" s="12" t="s">
        <v>285</v>
      </c>
      <c r="B188" s="13">
        <v>45668</v>
      </c>
      <c r="C188" s="12" t="s">
        <v>535</v>
      </c>
      <c r="D188" s="12" t="s">
        <v>51</v>
      </c>
      <c r="E188" s="12" t="s">
        <v>775</v>
      </c>
      <c r="F188" s="12" t="s">
        <v>53</v>
      </c>
      <c r="G188" s="12" t="s">
        <v>17</v>
      </c>
      <c r="H188" s="14">
        <v>3</v>
      </c>
      <c r="I188" s="14">
        <v>699.99</v>
      </c>
      <c r="J188" s="12" t="s">
        <v>18</v>
      </c>
      <c r="K188" s="12" t="s">
        <v>32</v>
      </c>
      <c r="L188" s="12" t="s">
        <v>23</v>
      </c>
      <c r="M188" s="13">
        <v>44602</v>
      </c>
      <c r="N188" s="17">
        <v>2099.9699999999998</v>
      </c>
      <c r="O188" s="18">
        <f t="shared" ca="1" si="9"/>
        <v>4</v>
      </c>
      <c r="P188" s="19">
        <f t="shared" si="10"/>
        <v>45688</v>
      </c>
      <c r="X188" s="25" t="str">
        <f t="shared" si="11"/>
        <v>ELE</v>
      </c>
      <c r="Y188" s="25" t="str">
        <f t="shared" si="12"/>
        <v>PREM.</v>
      </c>
    </row>
    <row r="189" spans="1:25" ht="17.5" customHeight="1" thickBot="1">
      <c r="A189" s="12" t="s">
        <v>286</v>
      </c>
      <c r="B189" s="13">
        <v>45670</v>
      </c>
      <c r="C189" s="12" t="s">
        <v>536</v>
      </c>
      <c r="D189" s="12" t="s">
        <v>95</v>
      </c>
      <c r="E189" s="12" t="s">
        <v>776</v>
      </c>
      <c r="F189" s="12" t="s">
        <v>66</v>
      </c>
      <c r="G189" s="12" t="s">
        <v>27</v>
      </c>
      <c r="H189" s="14">
        <v>1</v>
      </c>
      <c r="I189" s="14">
        <v>79.989999999999995</v>
      </c>
      <c r="J189" s="12" t="s">
        <v>22</v>
      </c>
      <c r="K189" s="12" t="s">
        <v>29</v>
      </c>
      <c r="L189" s="12" t="s">
        <v>20</v>
      </c>
      <c r="M189" s="13">
        <v>45322</v>
      </c>
      <c r="N189" s="17">
        <v>79.989999999999995</v>
      </c>
      <c r="O189" s="18">
        <f t="shared" ca="1" si="9"/>
        <v>2</v>
      </c>
      <c r="P189" s="19">
        <f t="shared" si="10"/>
        <v>45688</v>
      </c>
      <c r="X189" s="25" t="str">
        <f t="shared" si="11"/>
        <v>APP</v>
      </c>
      <c r="Y189" s="25" t="str">
        <f t="shared" si="12"/>
        <v>BAS.</v>
      </c>
    </row>
    <row r="190" spans="1:25" ht="17.5" customHeight="1" thickBot="1">
      <c r="A190" s="12" t="s">
        <v>287</v>
      </c>
      <c r="B190" s="13">
        <v>45670</v>
      </c>
      <c r="C190" s="12" t="s">
        <v>537</v>
      </c>
      <c r="D190" s="12" t="s">
        <v>55</v>
      </c>
      <c r="E190" s="12" t="s">
        <v>777</v>
      </c>
      <c r="F190" s="12" t="s">
        <v>62</v>
      </c>
      <c r="G190" s="12" t="s">
        <v>36</v>
      </c>
      <c r="H190" s="14">
        <v>1</v>
      </c>
      <c r="I190" s="14">
        <v>299.99</v>
      </c>
      <c r="J190" s="12" t="s">
        <v>22</v>
      </c>
      <c r="K190" s="12" t="s">
        <v>32</v>
      </c>
      <c r="L190" s="12" t="s">
        <v>20</v>
      </c>
      <c r="M190" s="13">
        <v>44436</v>
      </c>
      <c r="N190" s="17">
        <v>299.99</v>
      </c>
      <c r="O190" s="18">
        <f t="shared" ca="1" si="9"/>
        <v>4</v>
      </c>
      <c r="P190" s="19">
        <f t="shared" si="10"/>
        <v>45688</v>
      </c>
      <c r="X190" s="25" t="str">
        <f t="shared" si="11"/>
        <v>FUR</v>
      </c>
      <c r="Y190" s="25" t="str">
        <f t="shared" si="12"/>
        <v>BAS.</v>
      </c>
    </row>
    <row r="191" spans="1:25" ht="17.5" customHeight="1" thickBot="1">
      <c r="A191" s="12" t="s">
        <v>288</v>
      </c>
      <c r="B191" s="13">
        <v>45671</v>
      </c>
      <c r="C191" s="12" t="s">
        <v>538</v>
      </c>
      <c r="D191" s="12" t="s">
        <v>81</v>
      </c>
      <c r="E191" s="12" t="s">
        <v>778</v>
      </c>
      <c r="F191" s="12" t="s">
        <v>16</v>
      </c>
      <c r="G191" s="12" t="s">
        <v>17</v>
      </c>
      <c r="H191" s="14">
        <v>4</v>
      </c>
      <c r="I191" s="14">
        <v>249.99</v>
      </c>
      <c r="J191" s="12" t="s">
        <v>22</v>
      </c>
      <c r="K191" s="12" t="s">
        <v>32</v>
      </c>
      <c r="L191" s="12" t="s">
        <v>23</v>
      </c>
      <c r="M191" s="13">
        <v>44460</v>
      </c>
      <c r="N191" s="17">
        <v>999.96</v>
      </c>
      <c r="O191" s="18">
        <f t="shared" ca="1" si="9"/>
        <v>4</v>
      </c>
      <c r="P191" s="19">
        <f t="shared" si="10"/>
        <v>45688</v>
      </c>
      <c r="X191" s="25" t="str">
        <f t="shared" si="11"/>
        <v>ELE</v>
      </c>
      <c r="Y191" s="25" t="str">
        <f t="shared" si="12"/>
        <v>PREM.</v>
      </c>
    </row>
    <row r="192" spans="1:25" ht="17.5" customHeight="1" thickBot="1">
      <c r="A192" s="12" t="s">
        <v>289</v>
      </c>
      <c r="B192" s="13">
        <v>45671</v>
      </c>
      <c r="C192" s="12" t="s">
        <v>539</v>
      </c>
      <c r="D192" s="12" t="s">
        <v>69</v>
      </c>
      <c r="E192" s="12" t="s">
        <v>779</v>
      </c>
      <c r="F192" s="12" t="s">
        <v>40</v>
      </c>
      <c r="G192" s="12" t="s">
        <v>17</v>
      </c>
      <c r="H192" s="14">
        <v>2</v>
      </c>
      <c r="I192" s="14">
        <v>149.99</v>
      </c>
      <c r="J192" s="12" t="s">
        <v>18</v>
      </c>
      <c r="K192" s="12" t="s">
        <v>32</v>
      </c>
      <c r="L192" s="12" t="s">
        <v>30</v>
      </c>
      <c r="M192" s="13">
        <v>44913</v>
      </c>
      <c r="N192" s="17">
        <v>299.98</v>
      </c>
      <c r="O192" s="18">
        <f t="shared" ca="1" si="9"/>
        <v>3</v>
      </c>
      <c r="P192" s="19">
        <f t="shared" si="10"/>
        <v>45688</v>
      </c>
      <c r="X192" s="25" t="str">
        <f t="shared" si="11"/>
        <v>ELE</v>
      </c>
      <c r="Y192" s="25" t="str">
        <f t="shared" si="12"/>
        <v>STD.</v>
      </c>
    </row>
    <row r="193" spans="1:25" ht="17.5" customHeight="1" thickBot="1">
      <c r="A193" s="12" t="s">
        <v>290</v>
      </c>
      <c r="B193" s="13">
        <v>45671</v>
      </c>
      <c r="C193" s="12" t="s">
        <v>540</v>
      </c>
      <c r="D193" s="12" t="s">
        <v>91</v>
      </c>
      <c r="E193" s="12" t="s">
        <v>780</v>
      </c>
      <c r="F193" s="12" t="s">
        <v>62</v>
      </c>
      <c r="G193" s="12" t="s">
        <v>36</v>
      </c>
      <c r="H193" s="14">
        <v>3</v>
      </c>
      <c r="I193" s="14">
        <v>299.99</v>
      </c>
      <c r="J193" s="12" t="s">
        <v>22</v>
      </c>
      <c r="K193" s="12" t="s">
        <v>29</v>
      </c>
      <c r="L193" s="12" t="s">
        <v>20</v>
      </c>
      <c r="M193" s="13">
        <v>45204</v>
      </c>
      <c r="N193" s="17">
        <v>899.97</v>
      </c>
      <c r="O193" s="18">
        <f t="shared" ca="1" si="9"/>
        <v>2</v>
      </c>
      <c r="P193" s="19">
        <f t="shared" si="10"/>
        <v>45688</v>
      </c>
      <c r="X193" s="25" t="str">
        <f t="shared" si="11"/>
        <v>FUR</v>
      </c>
      <c r="Y193" s="25" t="str">
        <f t="shared" si="12"/>
        <v>BAS.</v>
      </c>
    </row>
    <row r="194" spans="1:25" ht="17.5" customHeight="1" thickBot="1">
      <c r="A194" s="12" t="s">
        <v>291</v>
      </c>
      <c r="B194" s="13">
        <v>45673</v>
      </c>
      <c r="C194" s="12" t="s">
        <v>541</v>
      </c>
      <c r="D194" s="12" t="s">
        <v>89</v>
      </c>
      <c r="E194" s="12" t="s">
        <v>781</v>
      </c>
      <c r="F194" s="12" t="s">
        <v>72</v>
      </c>
      <c r="G194" s="12" t="s">
        <v>36</v>
      </c>
      <c r="H194" s="14">
        <v>4</v>
      </c>
      <c r="I194" s="14">
        <v>199.99</v>
      </c>
      <c r="J194" s="12" t="s">
        <v>42</v>
      </c>
      <c r="K194" s="12" t="s">
        <v>29</v>
      </c>
      <c r="L194" s="12" t="s">
        <v>30</v>
      </c>
      <c r="M194" s="13">
        <v>44544</v>
      </c>
      <c r="N194" s="17">
        <v>799.96</v>
      </c>
      <c r="O194" s="18">
        <f t="shared" ca="1" si="9"/>
        <v>4</v>
      </c>
      <c r="P194" s="19">
        <f t="shared" si="10"/>
        <v>45688</v>
      </c>
      <c r="X194" s="25" t="str">
        <f t="shared" si="11"/>
        <v>FUR</v>
      </c>
      <c r="Y194" s="25" t="str">
        <f t="shared" si="12"/>
        <v>STD.</v>
      </c>
    </row>
    <row r="195" spans="1:25" ht="17.5" customHeight="1" thickBot="1">
      <c r="A195" s="12" t="s">
        <v>292</v>
      </c>
      <c r="B195" s="13">
        <v>45673</v>
      </c>
      <c r="C195" s="12" t="s">
        <v>542</v>
      </c>
      <c r="D195" s="12" t="s">
        <v>88</v>
      </c>
      <c r="E195" s="12" t="s">
        <v>782</v>
      </c>
      <c r="F195" s="12" t="s">
        <v>62</v>
      </c>
      <c r="G195" s="12" t="s">
        <v>36</v>
      </c>
      <c r="H195" s="14">
        <v>5</v>
      </c>
      <c r="I195" s="14">
        <v>299.99</v>
      </c>
      <c r="J195" s="12" t="s">
        <v>42</v>
      </c>
      <c r="K195" s="12" t="s">
        <v>19</v>
      </c>
      <c r="L195" s="12" t="s">
        <v>20</v>
      </c>
      <c r="M195" s="13">
        <v>44431</v>
      </c>
      <c r="N195" s="17">
        <v>1499.95</v>
      </c>
      <c r="O195" s="18">
        <f t="shared" ref="O195:O250" ca="1" si="13">DATEDIF(M195, TODAY(), "Y")</f>
        <v>4</v>
      </c>
      <c r="P195" s="19">
        <f t="shared" ref="P195:P251" si="14">EOMONTH(B195, 0)</f>
        <v>45688</v>
      </c>
      <c r="X195" s="25" t="str">
        <f t="shared" ref="X195:X251" si="15">UPPER(LEFT(G195, 3))</f>
        <v>FUR</v>
      </c>
      <c r="Y195" s="25" t="str">
        <f t="shared" ref="Y195:Y251" si="16">IF(L195="Premium", "PREM.", IF(L195="Standard", "STD.", "BAS."))</f>
        <v>BAS.</v>
      </c>
    </row>
    <row r="196" spans="1:25" ht="17.5" customHeight="1" thickBot="1">
      <c r="A196" s="12" t="s">
        <v>293</v>
      </c>
      <c r="B196" s="13">
        <v>45673</v>
      </c>
      <c r="C196" s="12" t="s">
        <v>543</v>
      </c>
      <c r="D196" s="12" t="s">
        <v>43</v>
      </c>
      <c r="E196" s="12" t="s">
        <v>783</v>
      </c>
      <c r="F196" s="12" t="s">
        <v>35</v>
      </c>
      <c r="G196" s="12" t="s">
        <v>36</v>
      </c>
      <c r="H196" s="14">
        <v>3</v>
      </c>
      <c r="I196" s="14">
        <v>149.99</v>
      </c>
      <c r="J196" s="12" t="s">
        <v>22</v>
      </c>
      <c r="K196" s="12" t="s">
        <v>46</v>
      </c>
      <c r="L196" s="12" t="s">
        <v>30</v>
      </c>
      <c r="M196" s="13">
        <v>44395</v>
      </c>
      <c r="N196" s="17">
        <v>449.97</v>
      </c>
      <c r="O196" s="18">
        <f t="shared" ca="1" si="13"/>
        <v>4</v>
      </c>
      <c r="P196" s="19">
        <f t="shared" si="14"/>
        <v>45688</v>
      </c>
      <c r="X196" s="25" t="str">
        <f t="shared" si="15"/>
        <v>FUR</v>
      </c>
      <c r="Y196" s="25" t="str">
        <f t="shared" si="16"/>
        <v>STD.</v>
      </c>
    </row>
    <row r="197" spans="1:25" ht="17.5" customHeight="1" thickBot="1">
      <c r="A197" s="12" t="s">
        <v>294</v>
      </c>
      <c r="B197" s="13">
        <v>45676</v>
      </c>
      <c r="C197" s="12" t="s">
        <v>544</v>
      </c>
      <c r="D197" s="12" t="s">
        <v>73</v>
      </c>
      <c r="E197" s="12" t="s">
        <v>784</v>
      </c>
      <c r="F197" s="12" t="s">
        <v>26</v>
      </c>
      <c r="G197" s="12" t="s">
        <v>27</v>
      </c>
      <c r="H197" s="14">
        <v>5</v>
      </c>
      <c r="I197" s="14">
        <v>59.99</v>
      </c>
      <c r="J197" s="12" t="s">
        <v>42</v>
      </c>
      <c r="K197" s="12" t="s">
        <v>46</v>
      </c>
      <c r="L197" s="12" t="s">
        <v>20</v>
      </c>
      <c r="M197" s="13">
        <v>44642</v>
      </c>
      <c r="N197" s="17">
        <v>299.95</v>
      </c>
      <c r="O197" s="18">
        <f t="shared" ca="1" si="13"/>
        <v>3</v>
      </c>
      <c r="P197" s="19">
        <f t="shared" si="14"/>
        <v>45688</v>
      </c>
      <c r="X197" s="25" t="str">
        <f t="shared" si="15"/>
        <v>APP</v>
      </c>
      <c r="Y197" s="25" t="str">
        <f t="shared" si="16"/>
        <v>BAS.</v>
      </c>
    </row>
    <row r="198" spans="1:25" ht="17.5" customHeight="1" thickBot="1">
      <c r="A198" s="12" t="s">
        <v>295</v>
      </c>
      <c r="B198" s="13">
        <v>45682</v>
      </c>
      <c r="C198" s="12" t="s">
        <v>545</v>
      </c>
      <c r="D198" s="12" t="s">
        <v>48</v>
      </c>
      <c r="E198" s="12" t="s">
        <v>785</v>
      </c>
      <c r="F198" s="12" t="s">
        <v>26</v>
      </c>
      <c r="G198" s="12" t="s">
        <v>27</v>
      </c>
      <c r="H198" s="14">
        <v>4</v>
      </c>
      <c r="I198" s="14">
        <v>59.99</v>
      </c>
      <c r="J198" s="12" t="s">
        <v>42</v>
      </c>
      <c r="K198" s="12" t="s">
        <v>46</v>
      </c>
      <c r="L198" s="12" t="s">
        <v>30</v>
      </c>
      <c r="M198" s="13">
        <v>44564</v>
      </c>
      <c r="N198" s="17">
        <v>239.96</v>
      </c>
      <c r="O198" s="18">
        <f t="shared" ca="1" si="13"/>
        <v>4</v>
      </c>
      <c r="P198" s="19">
        <f t="shared" si="14"/>
        <v>45688</v>
      </c>
      <c r="X198" s="25" t="str">
        <f t="shared" si="15"/>
        <v>APP</v>
      </c>
      <c r="Y198" s="25" t="str">
        <f t="shared" si="16"/>
        <v>STD.</v>
      </c>
    </row>
    <row r="199" spans="1:25" ht="17.5" customHeight="1" thickBot="1">
      <c r="A199" s="12" t="s">
        <v>296</v>
      </c>
      <c r="B199" s="13">
        <v>45683</v>
      </c>
      <c r="C199" s="12" t="s">
        <v>546</v>
      </c>
      <c r="D199" s="12" t="s">
        <v>37</v>
      </c>
      <c r="E199" s="12" t="s">
        <v>786</v>
      </c>
      <c r="F199" s="12" t="s">
        <v>16</v>
      </c>
      <c r="G199" s="12" t="s">
        <v>17</v>
      </c>
      <c r="H199" s="14">
        <v>4</v>
      </c>
      <c r="I199" s="14">
        <v>249.99</v>
      </c>
      <c r="J199" s="12" t="s">
        <v>42</v>
      </c>
      <c r="K199" s="12" t="s">
        <v>19</v>
      </c>
      <c r="L199" s="12" t="s">
        <v>23</v>
      </c>
      <c r="M199" s="13">
        <v>45217</v>
      </c>
      <c r="N199" s="17">
        <v>999.96</v>
      </c>
      <c r="O199" s="18">
        <f t="shared" ca="1" si="13"/>
        <v>2</v>
      </c>
      <c r="P199" s="19">
        <f t="shared" si="14"/>
        <v>45688</v>
      </c>
      <c r="X199" s="25" t="str">
        <f t="shared" si="15"/>
        <v>ELE</v>
      </c>
      <c r="Y199" s="25" t="str">
        <f t="shared" si="16"/>
        <v>PREM.</v>
      </c>
    </row>
    <row r="200" spans="1:25" ht="17.5" customHeight="1" thickBot="1">
      <c r="A200" s="12" t="s">
        <v>297</v>
      </c>
      <c r="B200" s="13">
        <v>45686</v>
      </c>
      <c r="C200" s="12" t="s">
        <v>547</v>
      </c>
      <c r="D200" s="12" t="s">
        <v>93</v>
      </c>
      <c r="E200" s="12" t="s">
        <v>787</v>
      </c>
      <c r="F200" s="12" t="s">
        <v>45</v>
      </c>
      <c r="G200" s="12" t="s">
        <v>17</v>
      </c>
      <c r="H200" s="14">
        <v>4</v>
      </c>
      <c r="I200" s="14">
        <v>899.99</v>
      </c>
      <c r="J200" s="12" t="s">
        <v>28</v>
      </c>
      <c r="K200" s="12" t="s">
        <v>19</v>
      </c>
      <c r="L200" s="12" t="s">
        <v>20</v>
      </c>
      <c r="M200" s="13">
        <v>44734</v>
      </c>
      <c r="N200" s="17">
        <v>3599.96</v>
      </c>
      <c r="O200" s="18">
        <f t="shared" ca="1" si="13"/>
        <v>3</v>
      </c>
      <c r="P200" s="19">
        <f t="shared" si="14"/>
        <v>45688</v>
      </c>
      <c r="X200" s="25" t="str">
        <f t="shared" si="15"/>
        <v>ELE</v>
      </c>
      <c r="Y200" s="25" t="str">
        <f t="shared" si="16"/>
        <v>BAS.</v>
      </c>
    </row>
    <row r="201" spans="1:25" ht="17.5" customHeight="1" thickBot="1">
      <c r="A201" s="12" t="s">
        <v>298</v>
      </c>
      <c r="B201" s="13">
        <v>45686</v>
      </c>
      <c r="C201" s="12" t="s">
        <v>548</v>
      </c>
      <c r="D201" s="12" t="s">
        <v>55</v>
      </c>
      <c r="E201" s="12" t="s">
        <v>788</v>
      </c>
      <c r="F201" s="12" t="s">
        <v>62</v>
      </c>
      <c r="G201" s="12" t="s">
        <v>36</v>
      </c>
      <c r="H201" s="14">
        <v>3</v>
      </c>
      <c r="I201" s="14">
        <v>299.99</v>
      </c>
      <c r="J201" s="12" t="s">
        <v>42</v>
      </c>
      <c r="K201" s="12" t="s">
        <v>38</v>
      </c>
      <c r="L201" s="12" t="s">
        <v>30</v>
      </c>
      <c r="M201" s="13">
        <v>44952</v>
      </c>
      <c r="N201" s="17">
        <v>899.97</v>
      </c>
      <c r="O201" s="18">
        <f t="shared" ca="1" si="13"/>
        <v>3</v>
      </c>
      <c r="P201" s="19">
        <f t="shared" si="14"/>
        <v>45688</v>
      </c>
      <c r="X201" s="25" t="str">
        <f t="shared" si="15"/>
        <v>FUR</v>
      </c>
      <c r="Y201" s="25" t="str">
        <f t="shared" si="16"/>
        <v>STD.</v>
      </c>
    </row>
    <row r="202" spans="1:25" ht="17.5" customHeight="1" thickBot="1">
      <c r="A202" s="12" t="s">
        <v>299</v>
      </c>
      <c r="B202" s="13">
        <v>45686</v>
      </c>
      <c r="C202" s="12" t="s">
        <v>549</v>
      </c>
      <c r="D202" s="12" t="s">
        <v>95</v>
      </c>
      <c r="E202" s="12" t="s">
        <v>789</v>
      </c>
      <c r="F202" s="12" t="s">
        <v>53</v>
      </c>
      <c r="G202" s="12" t="s">
        <v>17</v>
      </c>
      <c r="H202" s="14">
        <v>2</v>
      </c>
      <c r="I202" s="14">
        <v>699.99</v>
      </c>
      <c r="J202" s="12" t="s">
        <v>42</v>
      </c>
      <c r="K202" s="12" t="s">
        <v>19</v>
      </c>
      <c r="L202" s="12" t="s">
        <v>23</v>
      </c>
      <c r="M202" s="13">
        <v>44681</v>
      </c>
      <c r="N202" s="17">
        <v>1399.98</v>
      </c>
      <c r="O202" s="18">
        <f t="shared" ca="1" si="13"/>
        <v>3</v>
      </c>
      <c r="P202" s="19">
        <f t="shared" si="14"/>
        <v>45688</v>
      </c>
      <c r="X202" s="25" t="str">
        <f t="shared" si="15"/>
        <v>ELE</v>
      </c>
      <c r="Y202" s="25" t="str">
        <f t="shared" si="16"/>
        <v>PREM.</v>
      </c>
    </row>
    <row r="203" spans="1:25" ht="17.5" customHeight="1" thickBot="1">
      <c r="A203" s="12" t="s">
        <v>300</v>
      </c>
      <c r="B203" s="13">
        <v>45688</v>
      </c>
      <c r="C203" s="12" t="s">
        <v>550</v>
      </c>
      <c r="D203" s="12" t="s">
        <v>47</v>
      </c>
      <c r="E203" s="12" t="s">
        <v>790</v>
      </c>
      <c r="F203" s="12" t="s">
        <v>53</v>
      </c>
      <c r="G203" s="12" t="s">
        <v>17</v>
      </c>
      <c r="H203" s="14">
        <v>4</v>
      </c>
      <c r="I203" s="14">
        <v>699.99</v>
      </c>
      <c r="J203" s="12" t="s">
        <v>42</v>
      </c>
      <c r="K203" s="12" t="s">
        <v>38</v>
      </c>
      <c r="L203" s="12" t="s">
        <v>23</v>
      </c>
      <c r="M203" s="13">
        <v>44692</v>
      </c>
      <c r="N203" s="17">
        <v>2799.96</v>
      </c>
      <c r="O203" s="18">
        <f t="shared" ca="1" si="13"/>
        <v>3</v>
      </c>
      <c r="P203" s="19">
        <f t="shared" si="14"/>
        <v>45688</v>
      </c>
      <c r="X203" s="25" t="str">
        <f t="shared" si="15"/>
        <v>ELE</v>
      </c>
      <c r="Y203" s="25" t="str">
        <f t="shared" si="16"/>
        <v>PREM.</v>
      </c>
    </row>
    <row r="204" spans="1:25" ht="17.5" customHeight="1" thickBot="1">
      <c r="A204" s="12" t="s">
        <v>301</v>
      </c>
      <c r="B204" s="13">
        <v>45688</v>
      </c>
      <c r="C204" s="12" t="s">
        <v>551</v>
      </c>
      <c r="D204" s="12" t="s">
        <v>70</v>
      </c>
      <c r="E204" s="12" t="s">
        <v>791</v>
      </c>
      <c r="F204" s="12" t="s">
        <v>68</v>
      </c>
      <c r="G204" s="12" t="s">
        <v>17</v>
      </c>
      <c r="H204" s="14">
        <v>2</v>
      </c>
      <c r="I204" s="14">
        <v>89.99</v>
      </c>
      <c r="J204" s="12" t="s">
        <v>42</v>
      </c>
      <c r="K204" s="12" t="s">
        <v>29</v>
      </c>
      <c r="L204" s="12" t="s">
        <v>20</v>
      </c>
      <c r="M204" s="13">
        <v>44777</v>
      </c>
      <c r="N204" s="17">
        <v>179.98</v>
      </c>
      <c r="O204" s="18">
        <f t="shared" ca="1" si="13"/>
        <v>3</v>
      </c>
      <c r="P204" s="19">
        <f t="shared" si="14"/>
        <v>45688</v>
      </c>
      <c r="X204" s="25" t="str">
        <f t="shared" si="15"/>
        <v>ELE</v>
      </c>
      <c r="Y204" s="25" t="str">
        <f t="shared" si="16"/>
        <v>BAS.</v>
      </c>
    </row>
    <row r="205" spans="1:25" ht="17.5" customHeight="1" thickBot="1">
      <c r="A205" s="12" t="s">
        <v>302</v>
      </c>
      <c r="B205" s="13">
        <v>45688</v>
      </c>
      <c r="C205" s="12" t="s">
        <v>552</v>
      </c>
      <c r="D205" s="12" t="s">
        <v>33</v>
      </c>
      <c r="E205" s="12" t="s">
        <v>792</v>
      </c>
      <c r="F205" s="12" t="s">
        <v>68</v>
      </c>
      <c r="G205" s="12" t="s">
        <v>17</v>
      </c>
      <c r="H205" s="14">
        <v>3</v>
      </c>
      <c r="I205" s="14">
        <v>89.99</v>
      </c>
      <c r="J205" s="12" t="s">
        <v>42</v>
      </c>
      <c r="K205" s="12" t="s">
        <v>29</v>
      </c>
      <c r="L205" s="12" t="s">
        <v>23</v>
      </c>
      <c r="M205" s="13">
        <v>45307</v>
      </c>
      <c r="N205" s="17">
        <v>269.97000000000003</v>
      </c>
      <c r="O205" s="18">
        <f t="shared" ca="1" si="13"/>
        <v>2</v>
      </c>
      <c r="P205" s="19">
        <f t="shared" si="14"/>
        <v>45688</v>
      </c>
      <c r="X205" s="25" t="str">
        <f t="shared" si="15"/>
        <v>ELE</v>
      </c>
      <c r="Y205" s="25" t="str">
        <f t="shared" si="16"/>
        <v>PREM.</v>
      </c>
    </row>
    <row r="206" spans="1:25" ht="17.5" customHeight="1" thickBot="1">
      <c r="A206" s="12" t="s">
        <v>303</v>
      </c>
      <c r="B206" s="13">
        <v>45692</v>
      </c>
      <c r="C206" s="12" t="s">
        <v>553</v>
      </c>
      <c r="D206" s="12" t="s">
        <v>97</v>
      </c>
      <c r="E206" s="12" t="s">
        <v>793</v>
      </c>
      <c r="F206" s="12" t="s">
        <v>26</v>
      </c>
      <c r="G206" s="12" t="s">
        <v>27</v>
      </c>
      <c r="H206" s="14">
        <v>1</v>
      </c>
      <c r="I206" s="14">
        <v>59.99</v>
      </c>
      <c r="J206" s="12" t="s">
        <v>42</v>
      </c>
      <c r="K206" s="12" t="s">
        <v>19</v>
      </c>
      <c r="L206" s="12" t="s">
        <v>30</v>
      </c>
      <c r="M206" s="13">
        <v>45045</v>
      </c>
      <c r="N206" s="17">
        <v>59.99</v>
      </c>
      <c r="O206" s="18">
        <f t="shared" ca="1" si="13"/>
        <v>2</v>
      </c>
      <c r="P206" s="19">
        <f t="shared" si="14"/>
        <v>45716</v>
      </c>
      <c r="X206" s="25" t="str">
        <f t="shared" si="15"/>
        <v>APP</v>
      </c>
      <c r="Y206" s="25" t="str">
        <f t="shared" si="16"/>
        <v>STD.</v>
      </c>
    </row>
    <row r="207" spans="1:25" ht="17.5" customHeight="1" thickBot="1">
      <c r="A207" s="12" t="s">
        <v>304</v>
      </c>
      <c r="B207" s="13">
        <v>45695</v>
      </c>
      <c r="C207" s="12" t="s">
        <v>554</v>
      </c>
      <c r="D207" s="12" t="s">
        <v>92</v>
      </c>
      <c r="E207" s="12" t="s">
        <v>794</v>
      </c>
      <c r="F207" s="12" t="s">
        <v>35</v>
      </c>
      <c r="G207" s="12" t="s">
        <v>36</v>
      </c>
      <c r="H207" s="14">
        <v>3</v>
      </c>
      <c r="I207" s="14">
        <v>149.99</v>
      </c>
      <c r="J207" s="12" t="s">
        <v>42</v>
      </c>
      <c r="K207" s="12" t="s">
        <v>32</v>
      </c>
      <c r="L207" s="12" t="s">
        <v>23</v>
      </c>
      <c r="M207" s="13">
        <v>44564</v>
      </c>
      <c r="N207" s="17">
        <v>449.97</v>
      </c>
      <c r="O207" s="18">
        <f t="shared" ca="1" si="13"/>
        <v>4</v>
      </c>
      <c r="P207" s="19">
        <f t="shared" si="14"/>
        <v>45716</v>
      </c>
      <c r="X207" s="25" t="str">
        <f t="shared" si="15"/>
        <v>FUR</v>
      </c>
      <c r="Y207" s="25" t="str">
        <f t="shared" si="16"/>
        <v>PREM.</v>
      </c>
    </row>
    <row r="208" spans="1:25" ht="17.5" customHeight="1" thickBot="1">
      <c r="A208" s="12" t="s">
        <v>305</v>
      </c>
      <c r="B208" s="13">
        <v>45695</v>
      </c>
      <c r="C208" s="12" t="s">
        <v>555</v>
      </c>
      <c r="D208" s="12" t="s">
        <v>57</v>
      </c>
      <c r="E208" s="12" t="s">
        <v>795</v>
      </c>
      <c r="F208" s="12" t="s">
        <v>62</v>
      </c>
      <c r="G208" s="12" t="s">
        <v>36</v>
      </c>
      <c r="H208" s="14">
        <v>5</v>
      </c>
      <c r="I208" s="14">
        <v>299.99</v>
      </c>
      <c r="J208" s="12" t="s">
        <v>22</v>
      </c>
      <c r="K208" s="12" t="s">
        <v>29</v>
      </c>
      <c r="L208" s="12" t="s">
        <v>20</v>
      </c>
      <c r="M208" s="13">
        <v>44959</v>
      </c>
      <c r="N208" s="17">
        <v>1499.95</v>
      </c>
      <c r="O208" s="18">
        <f t="shared" ca="1" si="13"/>
        <v>3</v>
      </c>
      <c r="P208" s="19">
        <f t="shared" si="14"/>
        <v>45716</v>
      </c>
      <c r="X208" s="25" t="str">
        <f t="shared" si="15"/>
        <v>FUR</v>
      </c>
      <c r="Y208" s="25" t="str">
        <f t="shared" si="16"/>
        <v>BAS.</v>
      </c>
    </row>
    <row r="209" spans="1:25" ht="17.5" customHeight="1" thickBot="1">
      <c r="A209" s="12" t="s">
        <v>306</v>
      </c>
      <c r="B209" s="13">
        <v>45696</v>
      </c>
      <c r="C209" s="12" t="s">
        <v>556</v>
      </c>
      <c r="D209" s="12" t="s">
        <v>79</v>
      </c>
      <c r="E209" s="12" t="s">
        <v>796</v>
      </c>
      <c r="F209" s="12" t="s">
        <v>26</v>
      </c>
      <c r="G209" s="12" t="s">
        <v>27</v>
      </c>
      <c r="H209" s="14">
        <v>5</v>
      </c>
      <c r="I209" s="14">
        <v>59.99</v>
      </c>
      <c r="J209" s="12" t="s">
        <v>42</v>
      </c>
      <c r="K209" s="12" t="s">
        <v>19</v>
      </c>
      <c r="L209" s="12" t="s">
        <v>30</v>
      </c>
      <c r="M209" s="13">
        <v>45177</v>
      </c>
      <c r="N209" s="17">
        <v>299.95</v>
      </c>
      <c r="O209" s="18">
        <f t="shared" ca="1" si="13"/>
        <v>2</v>
      </c>
      <c r="P209" s="19">
        <f t="shared" si="14"/>
        <v>45716</v>
      </c>
      <c r="X209" s="25" t="str">
        <f t="shared" si="15"/>
        <v>APP</v>
      </c>
      <c r="Y209" s="25" t="str">
        <f t="shared" si="16"/>
        <v>STD.</v>
      </c>
    </row>
    <row r="210" spans="1:25" ht="17.5" customHeight="1" thickBot="1">
      <c r="A210" s="12" t="s">
        <v>307</v>
      </c>
      <c r="B210" s="13">
        <v>45701</v>
      </c>
      <c r="C210" s="12" t="s">
        <v>557</v>
      </c>
      <c r="D210" s="12" t="s">
        <v>63</v>
      </c>
      <c r="E210" s="12" t="s">
        <v>797</v>
      </c>
      <c r="F210" s="12" t="s">
        <v>66</v>
      </c>
      <c r="G210" s="12" t="s">
        <v>27</v>
      </c>
      <c r="H210" s="14">
        <v>3</v>
      </c>
      <c r="I210" s="14">
        <v>79.989999999999995</v>
      </c>
      <c r="J210" s="12" t="s">
        <v>18</v>
      </c>
      <c r="K210" s="12" t="s">
        <v>46</v>
      </c>
      <c r="L210" s="12" t="s">
        <v>23</v>
      </c>
      <c r="M210" s="13">
        <v>44436</v>
      </c>
      <c r="N210" s="17">
        <v>239.97</v>
      </c>
      <c r="O210" s="18">
        <f t="shared" ca="1" si="13"/>
        <v>4</v>
      </c>
      <c r="P210" s="19">
        <f t="shared" si="14"/>
        <v>45716</v>
      </c>
      <c r="X210" s="25" t="str">
        <f t="shared" si="15"/>
        <v>APP</v>
      </c>
      <c r="Y210" s="25" t="str">
        <f t="shared" si="16"/>
        <v>PREM.</v>
      </c>
    </row>
    <row r="211" spans="1:25" ht="17.5" customHeight="1" thickBot="1">
      <c r="A211" s="12" t="s">
        <v>308</v>
      </c>
      <c r="B211" s="13">
        <v>45704</v>
      </c>
      <c r="C211" s="12" t="s">
        <v>558</v>
      </c>
      <c r="D211" s="12" t="s">
        <v>24</v>
      </c>
      <c r="E211" s="12" t="s">
        <v>798</v>
      </c>
      <c r="F211" s="12" t="s">
        <v>72</v>
      </c>
      <c r="G211" s="12" t="s">
        <v>36</v>
      </c>
      <c r="H211" s="14">
        <v>3</v>
      </c>
      <c r="I211" s="14">
        <v>199.99</v>
      </c>
      <c r="J211" s="12" t="s">
        <v>18</v>
      </c>
      <c r="K211" s="12" t="s">
        <v>19</v>
      </c>
      <c r="L211" s="12" t="s">
        <v>20</v>
      </c>
      <c r="M211" s="13">
        <v>44735</v>
      </c>
      <c r="N211" s="17">
        <v>599.97</v>
      </c>
      <c r="O211" s="18">
        <f t="shared" ca="1" si="13"/>
        <v>3</v>
      </c>
      <c r="P211" s="19">
        <f t="shared" si="14"/>
        <v>45716</v>
      </c>
      <c r="X211" s="25" t="str">
        <f t="shared" si="15"/>
        <v>FUR</v>
      </c>
      <c r="Y211" s="25" t="str">
        <f t="shared" si="16"/>
        <v>BAS.</v>
      </c>
    </row>
    <row r="212" spans="1:25" ht="17.5" customHeight="1" thickBot="1">
      <c r="A212" s="12" t="s">
        <v>309</v>
      </c>
      <c r="B212" s="13">
        <v>45704</v>
      </c>
      <c r="C212" s="12" t="s">
        <v>559</v>
      </c>
      <c r="D212" s="12" t="s">
        <v>14</v>
      </c>
      <c r="E212" s="12" t="s">
        <v>799</v>
      </c>
      <c r="F212" s="12" t="s">
        <v>68</v>
      </c>
      <c r="G212" s="12" t="s">
        <v>17</v>
      </c>
      <c r="H212" s="14">
        <v>2</v>
      </c>
      <c r="I212" s="14">
        <v>89.99</v>
      </c>
      <c r="J212" s="12" t="s">
        <v>28</v>
      </c>
      <c r="K212" s="12" t="s">
        <v>19</v>
      </c>
      <c r="L212" s="12" t="s">
        <v>20</v>
      </c>
      <c r="M212" s="13">
        <v>45257</v>
      </c>
      <c r="N212" s="17">
        <v>179.98</v>
      </c>
      <c r="O212" s="18">
        <f t="shared" ca="1" si="13"/>
        <v>2</v>
      </c>
      <c r="P212" s="19">
        <f t="shared" si="14"/>
        <v>45716</v>
      </c>
      <c r="X212" s="25" t="str">
        <f t="shared" si="15"/>
        <v>ELE</v>
      </c>
      <c r="Y212" s="25" t="str">
        <f t="shared" si="16"/>
        <v>BAS.</v>
      </c>
    </row>
    <row r="213" spans="1:25" ht="17.5" customHeight="1" thickBot="1">
      <c r="A213" s="12" t="s">
        <v>310</v>
      </c>
      <c r="B213" s="13">
        <v>45705</v>
      </c>
      <c r="C213" s="12" t="s">
        <v>560</v>
      </c>
      <c r="D213" s="12" t="s">
        <v>94</v>
      </c>
      <c r="E213" s="12" t="s">
        <v>800</v>
      </c>
      <c r="F213" s="12" t="s">
        <v>35</v>
      </c>
      <c r="G213" s="12" t="s">
        <v>36</v>
      </c>
      <c r="H213" s="14">
        <v>2</v>
      </c>
      <c r="I213" s="14">
        <v>149.99</v>
      </c>
      <c r="J213" s="12" t="s">
        <v>18</v>
      </c>
      <c r="K213" s="12" t="s">
        <v>29</v>
      </c>
      <c r="L213" s="12" t="s">
        <v>23</v>
      </c>
      <c r="M213" s="13">
        <v>44728</v>
      </c>
      <c r="N213" s="17">
        <v>299.98</v>
      </c>
      <c r="O213" s="18">
        <f t="shared" ca="1" si="13"/>
        <v>3</v>
      </c>
      <c r="P213" s="19">
        <f t="shared" si="14"/>
        <v>45716</v>
      </c>
      <c r="X213" s="25" t="str">
        <f t="shared" si="15"/>
        <v>FUR</v>
      </c>
      <c r="Y213" s="25" t="str">
        <f t="shared" si="16"/>
        <v>PREM.</v>
      </c>
    </row>
    <row r="214" spans="1:25" ht="17.5" customHeight="1" thickBot="1">
      <c r="A214" s="12" t="s">
        <v>311</v>
      </c>
      <c r="B214" s="13">
        <v>45707</v>
      </c>
      <c r="C214" s="12" t="s">
        <v>561</v>
      </c>
      <c r="D214" s="12" t="s">
        <v>70</v>
      </c>
      <c r="E214" s="12" t="s">
        <v>801</v>
      </c>
      <c r="F214" s="12" t="s">
        <v>53</v>
      </c>
      <c r="G214" s="12" t="s">
        <v>17</v>
      </c>
      <c r="H214" s="14">
        <v>5</v>
      </c>
      <c r="I214" s="14">
        <v>699.99</v>
      </c>
      <c r="J214" s="12" t="s">
        <v>28</v>
      </c>
      <c r="K214" s="12" t="s">
        <v>29</v>
      </c>
      <c r="L214" s="12" t="s">
        <v>23</v>
      </c>
      <c r="M214" s="13">
        <v>45352</v>
      </c>
      <c r="N214" s="17">
        <v>3499.95</v>
      </c>
      <c r="O214" s="18">
        <f t="shared" ca="1" si="13"/>
        <v>1</v>
      </c>
      <c r="P214" s="19">
        <f t="shared" si="14"/>
        <v>45716</v>
      </c>
      <c r="X214" s="25" t="str">
        <f t="shared" si="15"/>
        <v>ELE</v>
      </c>
      <c r="Y214" s="25" t="str">
        <f t="shared" si="16"/>
        <v>PREM.</v>
      </c>
    </row>
    <row r="215" spans="1:25" ht="17.5" customHeight="1" thickBot="1">
      <c r="A215" s="12" t="s">
        <v>312</v>
      </c>
      <c r="B215" s="13">
        <v>45707</v>
      </c>
      <c r="C215" s="12" t="s">
        <v>562</v>
      </c>
      <c r="D215" s="12" t="s">
        <v>33</v>
      </c>
      <c r="E215" s="12" t="s">
        <v>802</v>
      </c>
      <c r="F215" s="12" t="s">
        <v>35</v>
      </c>
      <c r="G215" s="12" t="s">
        <v>36</v>
      </c>
      <c r="H215" s="14">
        <v>3</v>
      </c>
      <c r="I215" s="14">
        <v>149.99</v>
      </c>
      <c r="J215" s="12" t="s">
        <v>28</v>
      </c>
      <c r="K215" s="12" t="s">
        <v>19</v>
      </c>
      <c r="L215" s="12" t="s">
        <v>30</v>
      </c>
      <c r="M215" s="13">
        <v>44633</v>
      </c>
      <c r="N215" s="17">
        <v>449.97</v>
      </c>
      <c r="O215" s="18">
        <f t="shared" ca="1" si="13"/>
        <v>3</v>
      </c>
      <c r="P215" s="19">
        <f t="shared" si="14"/>
        <v>45716</v>
      </c>
      <c r="X215" s="25" t="str">
        <f t="shared" si="15"/>
        <v>FUR</v>
      </c>
      <c r="Y215" s="25" t="str">
        <f t="shared" si="16"/>
        <v>STD.</v>
      </c>
    </row>
    <row r="216" spans="1:25" ht="17.5" customHeight="1" thickBot="1">
      <c r="A216" s="12" t="s">
        <v>313</v>
      </c>
      <c r="B216" s="13">
        <v>45708</v>
      </c>
      <c r="C216" s="12" t="s">
        <v>563</v>
      </c>
      <c r="D216" s="12" t="s">
        <v>58</v>
      </c>
      <c r="E216" s="12" t="s">
        <v>803</v>
      </c>
      <c r="F216" s="12" t="s">
        <v>45</v>
      </c>
      <c r="G216" s="12" t="s">
        <v>17</v>
      </c>
      <c r="H216" s="14">
        <v>3</v>
      </c>
      <c r="I216" s="14">
        <v>899.99</v>
      </c>
      <c r="J216" s="12" t="s">
        <v>18</v>
      </c>
      <c r="K216" s="12" t="s">
        <v>46</v>
      </c>
      <c r="L216" s="12" t="s">
        <v>30</v>
      </c>
      <c r="M216" s="13">
        <v>44613</v>
      </c>
      <c r="N216" s="17">
        <v>2699.97</v>
      </c>
      <c r="O216" s="18">
        <f t="shared" ca="1" si="13"/>
        <v>4</v>
      </c>
      <c r="P216" s="19">
        <f t="shared" si="14"/>
        <v>45716</v>
      </c>
      <c r="X216" s="25" t="str">
        <f t="shared" si="15"/>
        <v>ELE</v>
      </c>
      <c r="Y216" s="25" t="str">
        <f t="shared" si="16"/>
        <v>STD.</v>
      </c>
    </row>
    <row r="217" spans="1:25" ht="17.5" customHeight="1" thickBot="1">
      <c r="A217" s="12" t="s">
        <v>314</v>
      </c>
      <c r="B217" s="13">
        <v>45708</v>
      </c>
      <c r="C217" s="12" t="s">
        <v>564</v>
      </c>
      <c r="D217" s="12" t="s">
        <v>86</v>
      </c>
      <c r="E217" s="12" t="s">
        <v>804</v>
      </c>
      <c r="F217" s="12" t="s">
        <v>72</v>
      </c>
      <c r="G217" s="12" t="s">
        <v>36</v>
      </c>
      <c r="H217" s="14">
        <v>3</v>
      </c>
      <c r="I217" s="14">
        <v>199.99</v>
      </c>
      <c r="J217" s="12" t="s">
        <v>18</v>
      </c>
      <c r="K217" s="12" t="s">
        <v>38</v>
      </c>
      <c r="L217" s="12" t="s">
        <v>23</v>
      </c>
      <c r="M217" s="13">
        <v>44823</v>
      </c>
      <c r="N217" s="17">
        <v>599.97</v>
      </c>
      <c r="O217" s="18">
        <f t="shared" ca="1" si="13"/>
        <v>3</v>
      </c>
      <c r="P217" s="19">
        <f t="shared" si="14"/>
        <v>45716</v>
      </c>
      <c r="X217" s="25" t="str">
        <f t="shared" si="15"/>
        <v>FUR</v>
      </c>
      <c r="Y217" s="25" t="str">
        <f t="shared" si="16"/>
        <v>PREM.</v>
      </c>
    </row>
    <row r="218" spans="1:25" ht="17.5" customHeight="1" thickBot="1">
      <c r="A218" s="12" t="s">
        <v>315</v>
      </c>
      <c r="B218" s="13">
        <v>45710</v>
      </c>
      <c r="C218" s="12" t="s">
        <v>565</v>
      </c>
      <c r="D218" s="12" t="s">
        <v>41</v>
      </c>
      <c r="E218" s="12" t="s">
        <v>805</v>
      </c>
      <c r="F218" s="12" t="s">
        <v>62</v>
      </c>
      <c r="G218" s="12" t="s">
        <v>36</v>
      </c>
      <c r="H218" s="14">
        <v>5</v>
      </c>
      <c r="I218" s="14">
        <v>299.99</v>
      </c>
      <c r="J218" s="12" t="s">
        <v>18</v>
      </c>
      <c r="K218" s="12" t="s">
        <v>38</v>
      </c>
      <c r="L218" s="12" t="s">
        <v>30</v>
      </c>
      <c r="M218" s="13">
        <v>45142</v>
      </c>
      <c r="N218" s="17">
        <v>1499.95</v>
      </c>
      <c r="O218" s="18">
        <f t="shared" ca="1" si="13"/>
        <v>2</v>
      </c>
      <c r="P218" s="19">
        <f t="shared" si="14"/>
        <v>45716</v>
      </c>
      <c r="X218" s="25" t="str">
        <f t="shared" si="15"/>
        <v>FUR</v>
      </c>
      <c r="Y218" s="25" t="str">
        <f t="shared" si="16"/>
        <v>STD.</v>
      </c>
    </row>
    <row r="219" spans="1:25" ht="17.5" customHeight="1" thickBot="1">
      <c r="A219" s="12" t="s">
        <v>316</v>
      </c>
      <c r="B219" s="13">
        <v>45710</v>
      </c>
      <c r="C219" s="12" t="s">
        <v>566</v>
      </c>
      <c r="D219" s="12" t="s">
        <v>79</v>
      </c>
      <c r="E219" s="12" t="s">
        <v>806</v>
      </c>
      <c r="F219" s="12" t="s">
        <v>53</v>
      </c>
      <c r="G219" s="12" t="s">
        <v>17</v>
      </c>
      <c r="H219" s="14">
        <v>1</v>
      </c>
      <c r="I219" s="14">
        <v>699.99</v>
      </c>
      <c r="J219" s="12" t="s">
        <v>28</v>
      </c>
      <c r="K219" s="12" t="s">
        <v>38</v>
      </c>
      <c r="L219" s="12" t="s">
        <v>20</v>
      </c>
      <c r="M219" s="13">
        <v>44934</v>
      </c>
      <c r="N219" s="17">
        <v>699.99</v>
      </c>
      <c r="O219" s="18">
        <f t="shared" ca="1" si="13"/>
        <v>3</v>
      </c>
      <c r="P219" s="19">
        <f t="shared" si="14"/>
        <v>45716</v>
      </c>
      <c r="X219" s="25" t="str">
        <f t="shared" si="15"/>
        <v>ELE</v>
      </c>
      <c r="Y219" s="25" t="str">
        <f t="shared" si="16"/>
        <v>BAS.</v>
      </c>
    </row>
    <row r="220" spans="1:25" ht="17.5" customHeight="1" thickBot="1">
      <c r="A220" s="12" t="s">
        <v>317</v>
      </c>
      <c r="B220" s="13">
        <v>45711</v>
      </c>
      <c r="C220" s="12" t="s">
        <v>567</v>
      </c>
      <c r="D220" s="12" t="s">
        <v>92</v>
      </c>
      <c r="E220" s="12" t="s">
        <v>807</v>
      </c>
      <c r="F220" s="12" t="s">
        <v>53</v>
      </c>
      <c r="G220" s="12" t="s">
        <v>17</v>
      </c>
      <c r="H220" s="14">
        <v>1</v>
      </c>
      <c r="I220" s="14">
        <v>699.99</v>
      </c>
      <c r="J220" s="12" t="s">
        <v>18</v>
      </c>
      <c r="K220" s="12" t="s">
        <v>32</v>
      </c>
      <c r="L220" s="12" t="s">
        <v>23</v>
      </c>
      <c r="M220" s="13">
        <v>44583</v>
      </c>
      <c r="N220" s="17">
        <v>699.99</v>
      </c>
      <c r="O220" s="18">
        <f t="shared" ca="1" si="13"/>
        <v>4</v>
      </c>
      <c r="P220" s="19">
        <f t="shared" si="14"/>
        <v>45716</v>
      </c>
      <c r="X220" s="25" t="str">
        <f t="shared" si="15"/>
        <v>ELE</v>
      </c>
      <c r="Y220" s="25" t="str">
        <f t="shared" si="16"/>
        <v>PREM.</v>
      </c>
    </row>
    <row r="221" spans="1:25" ht="17.5" customHeight="1" thickBot="1">
      <c r="A221" s="12" t="s">
        <v>318</v>
      </c>
      <c r="B221" s="13">
        <v>45711</v>
      </c>
      <c r="C221" s="12" t="s">
        <v>568</v>
      </c>
      <c r="D221" s="12" t="s">
        <v>97</v>
      </c>
      <c r="E221" s="12" t="s">
        <v>808</v>
      </c>
      <c r="F221" s="12" t="s">
        <v>35</v>
      </c>
      <c r="G221" s="12" t="s">
        <v>36</v>
      </c>
      <c r="H221" s="14">
        <v>4</v>
      </c>
      <c r="I221" s="14">
        <v>149.99</v>
      </c>
      <c r="J221" s="12" t="s">
        <v>28</v>
      </c>
      <c r="K221" s="12" t="s">
        <v>32</v>
      </c>
      <c r="L221" s="12" t="s">
        <v>23</v>
      </c>
      <c r="M221" s="13">
        <v>44412</v>
      </c>
      <c r="N221" s="17">
        <v>599.96</v>
      </c>
      <c r="O221" s="18">
        <f t="shared" ca="1" si="13"/>
        <v>4</v>
      </c>
      <c r="P221" s="19">
        <f t="shared" si="14"/>
        <v>45716</v>
      </c>
      <c r="X221" s="25" t="str">
        <f t="shared" si="15"/>
        <v>FUR</v>
      </c>
      <c r="Y221" s="25" t="str">
        <f t="shared" si="16"/>
        <v>PREM.</v>
      </c>
    </row>
    <row r="222" spans="1:25" ht="17.5" customHeight="1" thickBot="1">
      <c r="A222" s="12" t="s">
        <v>319</v>
      </c>
      <c r="B222" s="13">
        <v>45711</v>
      </c>
      <c r="C222" s="12" t="s">
        <v>569</v>
      </c>
      <c r="D222" s="12" t="s">
        <v>88</v>
      </c>
      <c r="E222" s="12" t="s">
        <v>809</v>
      </c>
      <c r="F222" s="12" t="s">
        <v>68</v>
      </c>
      <c r="G222" s="12" t="s">
        <v>17</v>
      </c>
      <c r="H222" s="14">
        <v>5</v>
      </c>
      <c r="I222" s="14">
        <v>89.99</v>
      </c>
      <c r="J222" s="12" t="s">
        <v>28</v>
      </c>
      <c r="K222" s="12" t="s">
        <v>38</v>
      </c>
      <c r="L222" s="12" t="s">
        <v>23</v>
      </c>
      <c r="M222" s="13">
        <v>45140</v>
      </c>
      <c r="N222" s="17">
        <v>449.95</v>
      </c>
      <c r="O222" s="18">
        <f t="shared" ca="1" si="13"/>
        <v>2</v>
      </c>
      <c r="P222" s="19">
        <f t="shared" si="14"/>
        <v>45716</v>
      </c>
      <c r="X222" s="25" t="str">
        <f t="shared" si="15"/>
        <v>ELE</v>
      </c>
      <c r="Y222" s="25" t="str">
        <f t="shared" si="16"/>
        <v>PREM.</v>
      </c>
    </row>
    <row r="223" spans="1:25" ht="17.5" customHeight="1" thickBot="1">
      <c r="A223" s="12" t="s">
        <v>320</v>
      </c>
      <c r="B223" s="13">
        <v>45712</v>
      </c>
      <c r="C223" s="12" t="s">
        <v>570</v>
      </c>
      <c r="D223" s="12" t="s">
        <v>75</v>
      </c>
      <c r="E223" s="12" t="s">
        <v>810</v>
      </c>
      <c r="F223" s="12" t="s">
        <v>72</v>
      </c>
      <c r="G223" s="12" t="s">
        <v>36</v>
      </c>
      <c r="H223" s="14">
        <v>2</v>
      </c>
      <c r="I223" s="14">
        <v>199.99</v>
      </c>
      <c r="J223" s="12" t="s">
        <v>18</v>
      </c>
      <c r="K223" s="12" t="s">
        <v>19</v>
      </c>
      <c r="L223" s="12" t="s">
        <v>23</v>
      </c>
      <c r="M223" s="13">
        <v>44573</v>
      </c>
      <c r="N223" s="17">
        <v>399.98</v>
      </c>
      <c r="O223" s="18">
        <f t="shared" ca="1" si="13"/>
        <v>4</v>
      </c>
      <c r="P223" s="19">
        <f t="shared" si="14"/>
        <v>45716</v>
      </c>
      <c r="X223" s="25" t="str">
        <f t="shared" si="15"/>
        <v>FUR</v>
      </c>
      <c r="Y223" s="25" t="str">
        <f t="shared" si="16"/>
        <v>PREM.</v>
      </c>
    </row>
    <row r="224" spans="1:25" ht="17.5" customHeight="1" thickBot="1">
      <c r="A224" s="12" t="s">
        <v>321</v>
      </c>
      <c r="B224" s="13">
        <v>45715</v>
      </c>
      <c r="C224" s="12" t="s">
        <v>571</v>
      </c>
      <c r="D224" s="12" t="s">
        <v>94</v>
      </c>
      <c r="E224" s="12" t="s">
        <v>811</v>
      </c>
      <c r="F224" s="12" t="s">
        <v>26</v>
      </c>
      <c r="G224" s="12" t="s">
        <v>27</v>
      </c>
      <c r="H224" s="14">
        <v>4</v>
      </c>
      <c r="I224" s="14">
        <v>59.99</v>
      </c>
      <c r="J224" s="12" t="s">
        <v>18</v>
      </c>
      <c r="K224" s="12" t="s">
        <v>38</v>
      </c>
      <c r="L224" s="12" t="s">
        <v>30</v>
      </c>
      <c r="M224" s="13">
        <v>45070</v>
      </c>
      <c r="N224" s="17">
        <v>239.96</v>
      </c>
      <c r="O224" s="18">
        <f t="shared" ca="1" si="13"/>
        <v>2</v>
      </c>
      <c r="P224" s="19">
        <f t="shared" si="14"/>
        <v>45716</v>
      </c>
      <c r="X224" s="25" t="str">
        <f t="shared" si="15"/>
        <v>APP</v>
      </c>
      <c r="Y224" s="25" t="str">
        <f t="shared" si="16"/>
        <v>STD.</v>
      </c>
    </row>
    <row r="225" spans="1:25" ht="17.5" customHeight="1" thickBot="1">
      <c r="A225" s="12" t="s">
        <v>322</v>
      </c>
      <c r="B225" s="13">
        <v>45715</v>
      </c>
      <c r="C225" s="12" t="s">
        <v>572</v>
      </c>
      <c r="D225" s="12" t="s">
        <v>57</v>
      </c>
      <c r="E225" s="12" t="s">
        <v>812</v>
      </c>
      <c r="F225" s="12" t="s">
        <v>62</v>
      </c>
      <c r="G225" s="12" t="s">
        <v>36</v>
      </c>
      <c r="H225" s="14">
        <v>2</v>
      </c>
      <c r="I225" s="14">
        <v>299.99</v>
      </c>
      <c r="J225" s="12" t="s">
        <v>28</v>
      </c>
      <c r="K225" s="12" t="s">
        <v>29</v>
      </c>
      <c r="L225" s="12" t="s">
        <v>20</v>
      </c>
      <c r="M225" s="13">
        <v>44576</v>
      </c>
      <c r="N225" s="17">
        <v>599.98</v>
      </c>
      <c r="O225" s="18">
        <f t="shared" ca="1" si="13"/>
        <v>4</v>
      </c>
      <c r="P225" s="19">
        <f t="shared" si="14"/>
        <v>45716</v>
      </c>
      <c r="X225" s="25" t="str">
        <f t="shared" si="15"/>
        <v>FUR</v>
      </c>
      <c r="Y225" s="25" t="str">
        <f t="shared" si="16"/>
        <v>BAS.</v>
      </c>
    </row>
    <row r="226" spans="1:25" ht="17.5" customHeight="1" thickBot="1">
      <c r="A226" s="12" t="s">
        <v>323</v>
      </c>
      <c r="B226" s="13">
        <v>45718</v>
      </c>
      <c r="C226" s="12" t="s">
        <v>573</v>
      </c>
      <c r="D226" s="12" t="s">
        <v>41</v>
      </c>
      <c r="E226" s="12" t="s">
        <v>813</v>
      </c>
      <c r="F226" s="12" t="s">
        <v>35</v>
      </c>
      <c r="G226" s="12" t="s">
        <v>36</v>
      </c>
      <c r="H226" s="14">
        <v>2</v>
      </c>
      <c r="I226" s="14">
        <v>149.99</v>
      </c>
      <c r="J226" s="12" t="s">
        <v>18</v>
      </c>
      <c r="K226" s="12" t="s">
        <v>19</v>
      </c>
      <c r="L226" s="12" t="s">
        <v>20</v>
      </c>
      <c r="M226" s="13">
        <v>45068</v>
      </c>
      <c r="N226" s="17">
        <v>299.98</v>
      </c>
      <c r="O226" s="18">
        <f t="shared" ca="1" si="13"/>
        <v>2</v>
      </c>
      <c r="P226" s="19">
        <f t="shared" si="14"/>
        <v>45747</v>
      </c>
      <c r="X226" s="25" t="str">
        <f t="shared" si="15"/>
        <v>FUR</v>
      </c>
      <c r="Y226" s="25" t="str">
        <f t="shared" si="16"/>
        <v>BAS.</v>
      </c>
    </row>
    <row r="227" spans="1:25" ht="17.5" customHeight="1" thickBot="1">
      <c r="A227" s="12" t="s">
        <v>324</v>
      </c>
      <c r="B227" s="13">
        <v>45720</v>
      </c>
      <c r="C227" s="12" t="s">
        <v>574</v>
      </c>
      <c r="D227" s="12" t="s">
        <v>89</v>
      </c>
      <c r="E227" s="12" t="s">
        <v>814</v>
      </c>
      <c r="F227" s="12" t="s">
        <v>53</v>
      </c>
      <c r="G227" s="12" t="s">
        <v>17</v>
      </c>
      <c r="H227" s="14">
        <v>5</v>
      </c>
      <c r="I227" s="14">
        <v>699.99</v>
      </c>
      <c r="J227" s="12" t="s">
        <v>42</v>
      </c>
      <c r="K227" s="12" t="s">
        <v>46</v>
      </c>
      <c r="L227" s="12" t="s">
        <v>23</v>
      </c>
      <c r="M227" s="13">
        <v>45161</v>
      </c>
      <c r="N227" s="17">
        <v>3499.95</v>
      </c>
      <c r="O227" s="18">
        <f t="shared" ca="1" si="13"/>
        <v>2</v>
      </c>
      <c r="P227" s="19">
        <f t="shared" si="14"/>
        <v>45747</v>
      </c>
      <c r="X227" s="25" t="str">
        <f t="shared" si="15"/>
        <v>ELE</v>
      </c>
      <c r="Y227" s="25" t="str">
        <f t="shared" si="16"/>
        <v>PREM.</v>
      </c>
    </row>
    <row r="228" spans="1:25" ht="17.5" customHeight="1" thickBot="1">
      <c r="A228" s="12" t="s">
        <v>325</v>
      </c>
      <c r="B228" s="13">
        <v>45721</v>
      </c>
      <c r="C228" s="12" t="s">
        <v>575</v>
      </c>
      <c r="D228" s="12" t="s">
        <v>50</v>
      </c>
      <c r="E228" s="12" t="s">
        <v>815</v>
      </c>
      <c r="F228" s="12" t="s">
        <v>26</v>
      </c>
      <c r="G228" s="12" t="s">
        <v>27</v>
      </c>
      <c r="H228" s="14">
        <v>5</v>
      </c>
      <c r="I228" s="14">
        <v>59.99</v>
      </c>
      <c r="J228" s="12" t="s">
        <v>18</v>
      </c>
      <c r="K228" s="12" t="s">
        <v>38</v>
      </c>
      <c r="L228" s="12" t="s">
        <v>23</v>
      </c>
      <c r="M228" s="13">
        <v>45291</v>
      </c>
      <c r="N228" s="17">
        <v>299.95</v>
      </c>
      <c r="O228" s="18">
        <f t="shared" ca="1" si="13"/>
        <v>2</v>
      </c>
      <c r="P228" s="19">
        <f t="shared" si="14"/>
        <v>45747</v>
      </c>
      <c r="X228" s="25" t="str">
        <f t="shared" si="15"/>
        <v>APP</v>
      </c>
      <c r="Y228" s="25" t="str">
        <f t="shared" si="16"/>
        <v>PREM.</v>
      </c>
    </row>
    <row r="229" spans="1:25" ht="17.5" customHeight="1" thickBot="1">
      <c r="A229" s="12" t="s">
        <v>326</v>
      </c>
      <c r="B229" s="13">
        <v>45723</v>
      </c>
      <c r="C229" s="12" t="s">
        <v>576</v>
      </c>
      <c r="D229" s="12" t="s">
        <v>14</v>
      </c>
      <c r="E229" s="12" t="s">
        <v>816</v>
      </c>
      <c r="F229" s="12" t="s">
        <v>68</v>
      </c>
      <c r="G229" s="12" t="s">
        <v>17</v>
      </c>
      <c r="H229" s="14">
        <v>2</v>
      </c>
      <c r="I229" s="14">
        <v>89.99</v>
      </c>
      <c r="J229" s="12" t="s">
        <v>22</v>
      </c>
      <c r="K229" s="12" t="s">
        <v>38</v>
      </c>
      <c r="L229" s="12" t="s">
        <v>23</v>
      </c>
      <c r="M229" s="13">
        <v>45295</v>
      </c>
      <c r="N229" s="17">
        <v>179.98</v>
      </c>
      <c r="O229" s="18">
        <f t="shared" ca="1" si="13"/>
        <v>2</v>
      </c>
      <c r="P229" s="19">
        <f t="shared" si="14"/>
        <v>45747</v>
      </c>
      <c r="X229" s="25" t="str">
        <f t="shared" si="15"/>
        <v>ELE</v>
      </c>
      <c r="Y229" s="25" t="str">
        <f t="shared" si="16"/>
        <v>PREM.</v>
      </c>
    </row>
    <row r="230" spans="1:25" ht="17.5" customHeight="1" thickBot="1">
      <c r="A230" s="12" t="s">
        <v>327</v>
      </c>
      <c r="B230" s="13">
        <v>45723</v>
      </c>
      <c r="C230" s="12" t="s">
        <v>577</v>
      </c>
      <c r="D230" s="12" t="s">
        <v>69</v>
      </c>
      <c r="E230" s="12" t="s">
        <v>817</v>
      </c>
      <c r="F230" s="12" t="s">
        <v>16</v>
      </c>
      <c r="G230" s="12" t="s">
        <v>17</v>
      </c>
      <c r="H230" s="14">
        <v>5</v>
      </c>
      <c r="I230" s="14">
        <v>249.99</v>
      </c>
      <c r="J230" s="12" t="s">
        <v>18</v>
      </c>
      <c r="K230" s="12" t="s">
        <v>46</v>
      </c>
      <c r="L230" s="12" t="s">
        <v>30</v>
      </c>
      <c r="M230" s="13">
        <v>44540</v>
      </c>
      <c r="N230" s="17">
        <v>1249.95</v>
      </c>
      <c r="O230" s="18">
        <f t="shared" ca="1" si="13"/>
        <v>4</v>
      </c>
      <c r="P230" s="19">
        <f t="shared" si="14"/>
        <v>45747</v>
      </c>
      <c r="X230" s="25" t="str">
        <f t="shared" si="15"/>
        <v>ELE</v>
      </c>
      <c r="Y230" s="25" t="str">
        <f t="shared" si="16"/>
        <v>STD.</v>
      </c>
    </row>
    <row r="231" spans="1:25" ht="17.5" customHeight="1" thickBot="1">
      <c r="A231" s="12" t="s">
        <v>328</v>
      </c>
      <c r="B231" s="13">
        <v>45724</v>
      </c>
      <c r="C231" s="12" t="s">
        <v>578</v>
      </c>
      <c r="D231" s="12" t="s">
        <v>89</v>
      </c>
      <c r="E231" s="12" t="s">
        <v>818</v>
      </c>
      <c r="F231" s="12" t="s">
        <v>35</v>
      </c>
      <c r="G231" s="12" t="s">
        <v>36</v>
      </c>
      <c r="H231" s="14">
        <v>2</v>
      </c>
      <c r="I231" s="14">
        <v>149.99</v>
      </c>
      <c r="J231" s="12" t="s">
        <v>28</v>
      </c>
      <c r="K231" s="12" t="s">
        <v>19</v>
      </c>
      <c r="L231" s="12" t="s">
        <v>23</v>
      </c>
      <c r="M231" s="13">
        <v>44632</v>
      </c>
      <c r="N231" s="17">
        <v>299.98</v>
      </c>
      <c r="O231" s="18">
        <f t="shared" ca="1" si="13"/>
        <v>3</v>
      </c>
      <c r="P231" s="19">
        <f t="shared" si="14"/>
        <v>45747</v>
      </c>
      <c r="X231" s="25" t="str">
        <f t="shared" si="15"/>
        <v>FUR</v>
      </c>
      <c r="Y231" s="25" t="str">
        <f t="shared" si="16"/>
        <v>PREM.</v>
      </c>
    </row>
    <row r="232" spans="1:25" ht="17.5" customHeight="1" thickBot="1">
      <c r="A232" s="12" t="s">
        <v>329</v>
      </c>
      <c r="B232" s="13">
        <v>45724</v>
      </c>
      <c r="C232" s="12" t="s">
        <v>579</v>
      </c>
      <c r="D232" s="12" t="s">
        <v>77</v>
      </c>
      <c r="E232" s="12" t="s">
        <v>819</v>
      </c>
      <c r="F232" s="12" t="s">
        <v>45</v>
      </c>
      <c r="G232" s="12" t="s">
        <v>17</v>
      </c>
      <c r="H232" s="14">
        <v>5</v>
      </c>
      <c r="I232" s="14">
        <v>899.99</v>
      </c>
      <c r="J232" s="12" t="s">
        <v>28</v>
      </c>
      <c r="K232" s="12" t="s">
        <v>46</v>
      </c>
      <c r="L232" s="12" t="s">
        <v>23</v>
      </c>
      <c r="M232" s="13">
        <v>45389</v>
      </c>
      <c r="N232" s="17">
        <v>4499.95</v>
      </c>
      <c r="O232" s="18">
        <f t="shared" ca="1" si="13"/>
        <v>1</v>
      </c>
      <c r="P232" s="19">
        <f t="shared" si="14"/>
        <v>45747</v>
      </c>
      <c r="X232" s="25" t="str">
        <f t="shared" si="15"/>
        <v>ELE</v>
      </c>
      <c r="Y232" s="25" t="str">
        <f t="shared" si="16"/>
        <v>PREM.</v>
      </c>
    </row>
    <row r="233" spans="1:25" ht="17.5" customHeight="1" thickBot="1">
      <c r="A233" s="12" t="s">
        <v>330</v>
      </c>
      <c r="B233" s="13">
        <v>45724</v>
      </c>
      <c r="C233" s="12" t="s">
        <v>580</v>
      </c>
      <c r="D233" s="12" t="s">
        <v>41</v>
      </c>
      <c r="E233" s="12" t="s">
        <v>820</v>
      </c>
      <c r="F233" s="12" t="s">
        <v>35</v>
      </c>
      <c r="G233" s="12" t="s">
        <v>36</v>
      </c>
      <c r="H233" s="14">
        <v>4</v>
      </c>
      <c r="I233" s="14">
        <v>149.99</v>
      </c>
      <c r="J233" s="12" t="s">
        <v>18</v>
      </c>
      <c r="K233" s="12" t="s">
        <v>19</v>
      </c>
      <c r="L233" s="12" t="s">
        <v>30</v>
      </c>
      <c r="M233" s="13">
        <v>45263</v>
      </c>
      <c r="N233" s="17">
        <v>599.96</v>
      </c>
      <c r="O233" s="18">
        <f t="shared" ca="1" si="13"/>
        <v>2</v>
      </c>
      <c r="P233" s="19">
        <f t="shared" si="14"/>
        <v>45747</v>
      </c>
      <c r="X233" s="25" t="str">
        <f t="shared" si="15"/>
        <v>FUR</v>
      </c>
      <c r="Y233" s="25" t="str">
        <f t="shared" si="16"/>
        <v>STD.</v>
      </c>
    </row>
    <row r="234" spans="1:25" ht="17.5" customHeight="1" thickBot="1">
      <c r="A234" s="12" t="s">
        <v>331</v>
      </c>
      <c r="B234" s="13">
        <v>45726</v>
      </c>
      <c r="C234" s="12" t="s">
        <v>581</v>
      </c>
      <c r="D234" s="12" t="s">
        <v>77</v>
      </c>
      <c r="E234" s="12" t="s">
        <v>821</v>
      </c>
      <c r="F234" s="12" t="s">
        <v>16</v>
      </c>
      <c r="G234" s="12" t="s">
        <v>17</v>
      </c>
      <c r="H234" s="14">
        <v>1</v>
      </c>
      <c r="I234" s="14">
        <v>249.99</v>
      </c>
      <c r="J234" s="12" t="s">
        <v>18</v>
      </c>
      <c r="K234" s="12" t="s">
        <v>32</v>
      </c>
      <c r="L234" s="12" t="s">
        <v>30</v>
      </c>
      <c r="M234" s="13">
        <v>45117</v>
      </c>
      <c r="N234" s="17">
        <v>249.99</v>
      </c>
      <c r="O234" s="18">
        <f t="shared" ca="1" si="13"/>
        <v>2</v>
      </c>
      <c r="P234" s="19">
        <f t="shared" si="14"/>
        <v>45747</v>
      </c>
      <c r="X234" s="25" t="str">
        <f t="shared" si="15"/>
        <v>ELE</v>
      </c>
      <c r="Y234" s="25" t="str">
        <f t="shared" si="16"/>
        <v>STD.</v>
      </c>
    </row>
    <row r="235" spans="1:25" ht="17.5" customHeight="1" thickBot="1">
      <c r="A235" s="12" t="s">
        <v>332</v>
      </c>
      <c r="B235" s="13">
        <v>45734</v>
      </c>
      <c r="C235" s="12" t="s">
        <v>582</v>
      </c>
      <c r="D235" s="12" t="s">
        <v>86</v>
      </c>
      <c r="E235" s="12" t="s">
        <v>822</v>
      </c>
      <c r="F235" s="12" t="s">
        <v>26</v>
      </c>
      <c r="G235" s="12" t="s">
        <v>27</v>
      </c>
      <c r="H235" s="14">
        <v>2</v>
      </c>
      <c r="I235" s="14">
        <v>59.99</v>
      </c>
      <c r="J235" s="12" t="s">
        <v>22</v>
      </c>
      <c r="K235" s="12" t="s">
        <v>38</v>
      </c>
      <c r="L235" s="12" t="s">
        <v>20</v>
      </c>
      <c r="M235" s="13">
        <v>45193</v>
      </c>
      <c r="N235" s="17">
        <v>119.98</v>
      </c>
      <c r="O235" s="18">
        <f t="shared" ca="1" si="13"/>
        <v>2</v>
      </c>
      <c r="P235" s="19">
        <f t="shared" si="14"/>
        <v>45747</v>
      </c>
      <c r="X235" s="25" t="str">
        <f t="shared" si="15"/>
        <v>APP</v>
      </c>
      <c r="Y235" s="25" t="str">
        <f t="shared" si="16"/>
        <v>BAS.</v>
      </c>
    </row>
    <row r="236" spans="1:25" ht="17.5" customHeight="1" thickBot="1">
      <c r="A236" s="12" t="s">
        <v>333</v>
      </c>
      <c r="B236" s="13">
        <v>45737</v>
      </c>
      <c r="C236" s="12" t="s">
        <v>583</v>
      </c>
      <c r="D236" s="12" t="s">
        <v>74</v>
      </c>
      <c r="E236" s="12" t="s">
        <v>823</v>
      </c>
      <c r="F236" s="12" t="s">
        <v>35</v>
      </c>
      <c r="G236" s="12" t="s">
        <v>36</v>
      </c>
      <c r="H236" s="14">
        <v>2</v>
      </c>
      <c r="I236" s="14">
        <v>149.99</v>
      </c>
      <c r="J236" s="12" t="s">
        <v>18</v>
      </c>
      <c r="K236" s="12" t="s">
        <v>38</v>
      </c>
      <c r="L236" s="12" t="s">
        <v>23</v>
      </c>
      <c r="M236" s="13">
        <v>45233</v>
      </c>
      <c r="N236" s="17">
        <v>299.98</v>
      </c>
      <c r="O236" s="18">
        <f t="shared" ca="1" si="13"/>
        <v>2</v>
      </c>
      <c r="P236" s="19">
        <f t="shared" si="14"/>
        <v>45747</v>
      </c>
      <c r="X236" s="25" t="str">
        <f t="shared" si="15"/>
        <v>FUR</v>
      </c>
      <c r="Y236" s="25" t="str">
        <f t="shared" si="16"/>
        <v>PREM.</v>
      </c>
    </row>
    <row r="237" spans="1:25" ht="17.5" customHeight="1" thickBot="1">
      <c r="A237" s="12" t="s">
        <v>334</v>
      </c>
      <c r="B237" s="13">
        <v>45737</v>
      </c>
      <c r="C237" s="12" t="s">
        <v>584</v>
      </c>
      <c r="D237" s="12" t="s">
        <v>79</v>
      </c>
      <c r="E237" s="12" t="s">
        <v>824</v>
      </c>
      <c r="F237" s="12" t="s">
        <v>45</v>
      </c>
      <c r="G237" s="12" t="s">
        <v>17</v>
      </c>
      <c r="H237" s="14">
        <v>3</v>
      </c>
      <c r="I237" s="14">
        <v>899.99</v>
      </c>
      <c r="J237" s="12" t="s">
        <v>42</v>
      </c>
      <c r="K237" s="12" t="s">
        <v>32</v>
      </c>
      <c r="L237" s="12" t="s">
        <v>23</v>
      </c>
      <c r="M237" s="13">
        <v>44876</v>
      </c>
      <c r="N237" s="17">
        <v>2699.97</v>
      </c>
      <c r="O237" s="18">
        <f t="shared" ca="1" si="13"/>
        <v>3</v>
      </c>
      <c r="P237" s="19">
        <f t="shared" si="14"/>
        <v>45747</v>
      </c>
      <c r="X237" s="25" t="str">
        <f t="shared" si="15"/>
        <v>ELE</v>
      </c>
      <c r="Y237" s="25" t="str">
        <f t="shared" si="16"/>
        <v>PREM.</v>
      </c>
    </row>
    <row r="238" spans="1:25" ht="17.5" customHeight="1" thickBot="1">
      <c r="A238" s="12" t="s">
        <v>335</v>
      </c>
      <c r="B238" s="13">
        <v>45737</v>
      </c>
      <c r="C238" s="12" t="s">
        <v>585</v>
      </c>
      <c r="D238" s="12" t="s">
        <v>37</v>
      </c>
      <c r="E238" s="12" t="s">
        <v>825</v>
      </c>
      <c r="F238" s="12" t="s">
        <v>45</v>
      </c>
      <c r="G238" s="12" t="s">
        <v>17</v>
      </c>
      <c r="H238" s="14">
        <v>3</v>
      </c>
      <c r="I238" s="14">
        <v>899.99</v>
      </c>
      <c r="J238" s="12" t="s">
        <v>28</v>
      </c>
      <c r="K238" s="12" t="s">
        <v>32</v>
      </c>
      <c r="L238" s="12" t="s">
        <v>20</v>
      </c>
      <c r="M238" s="13">
        <v>44975</v>
      </c>
      <c r="N238" s="17">
        <v>2699.97</v>
      </c>
      <c r="O238" s="18">
        <f t="shared" ca="1" si="13"/>
        <v>3</v>
      </c>
      <c r="P238" s="19">
        <f t="shared" si="14"/>
        <v>45747</v>
      </c>
      <c r="X238" s="25" t="str">
        <f t="shared" si="15"/>
        <v>ELE</v>
      </c>
      <c r="Y238" s="25" t="str">
        <f t="shared" si="16"/>
        <v>BAS.</v>
      </c>
    </row>
    <row r="239" spans="1:25" ht="17.5" customHeight="1" thickBot="1">
      <c r="A239" s="12" t="s">
        <v>336</v>
      </c>
      <c r="B239" s="13">
        <v>45739</v>
      </c>
      <c r="C239" s="12" t="s">
        <v>586</v>
      </c>
      <c r="D239" s="12" t="s">
        <v>14</v>
      </c>
      <c r="E239" s="12" t="s">
        <v>826</v>
      </c>
      <c r="F239" s="12" t="s">
        <v>62</v>
      </c>
      <c r="G239" s="12" t="s">
        <v>36</v>
      </c>
      <c r="H239" s="14">
        <v>3</v>
      </c>
      <c r="I239" s="14">
        <v>299.99</v>
      </c>
      <c r="J239" s="12" t="s">
        <v>22</v>
      </c>
      <c r="K239" s="12" t="s">
        <v>38</v>
      </c>
      <c r="L239" s="12" t="s">
        <v>23</v>
      </c>
      <c r="M239" s="13">
        <v>45234</v>
      </c>
      <c r="N239" s="17">
        <v>899.97</v>
      </c>
      <c r="O239" s="18">
        <f t="shared" ca="1" si="13"/>
        <v>2</v>
      </c>
      <c r="P239" s="19">
        <f t="shared" si="14"/>
        <v>45747</v>
      </c>
      <c r="X239" s="25" t="str">
        <f t="shared" si="15"/>
        <v>FUR</v>
      </c>
      <c r="Y239" s="25" t="str">
        <f t="shared" si="16"/>
        <v>PREM.</v>
      </c>
    </row>
    <row r="240" spans="1:25" ht="17.5" customHeight="1" thickBot="1">
      <c r="A240" s="12" t="s">
        <v>337</v>
      </c>
      <c r="B240" s="13">
        <v>45740</v>
      </c>
      <c r="C240" s="12" t="s">
        <v>587</v>
      </c>
      <c r="D240" s="12" t="s">
        <v>98</v>
      </c>
      <c r="E240" s="12" t="s">
        <v>827</v>
      </c>
      <c r="F240" s="12" t="s">
        <v>35</v>
      </c>
      <c r="G240" s="12" t="s">
        <v>36</v>
      </c>
      <c r="H240" s="14">
        <v>4</v>
      </c>
      <c r="I240" s="14">
        <v>149.99</v>
      </c>
      <c r="J240" s="12" t="s">
        <v>28</v>
      </c>
      <c r="K240" s="12" t="s">
        <v>38</v>
      </c>
      <c r="L240" s="12" t="s">
        <v>30</v>
      </c>
      <c r="M240" s="13">
        <v>44560</v>
      </c>
      <c r="N240" s="17">
        <v>599.96</v>
      </c>
      <c r="O240" s="18">
        <f t="shared" ca="1" si="13"/>
        <v>4</v>
      </c>
      <c r="P240" s="19">
        <f t="shared" si="14"/>
        <v>45747</v>
      </c>
      <c r="X240" s="25" t="str">
        <f t="shared" si="15"/>
        <v>FUR</v>
      </c>
      <c r="Y240" s="25" t="str">
        <f t="shared" si="16"/>
        <v>STD.</v>
      </c>
    </row>
    <row r="241" spans="1:25" ht="17.5" customHeight="1" thickBot="1">
      <c r="A241" s="12" t="s">
        <v>338</v>
      </c>
      <c r="B241" s="13">
        <v>45743</v>
      </c>
      <c r="C241" s="12" t="s">
        <v>588</v>
      </c>
      <c r="D241" s="12" t="s">
        <v>60</v>
      </c>
      <c r="E241" s="12" t="s">
        <v>828</v>
      </c>
      <c r="F241" s="12" t="s">
        <v>66</v>
      </c>
      <c r="G241" s="12" t="s">
        <v>27</v>
      </c>
      <c r="H241" s="14">
        <v>4</v>
      </c>
      <c r="I241" s="14">
        <v>79.989999999999995</v>
      </c>
      <c r="J241" s="12" t="s">
        <v>22</v>
      </c>
      <c r="K241" s="12" t="s">
        <v>19</v>
      </c>
      <c r="L241" s="12" t="s">
        <v>20</v>
      </c>
      <c r="M241" s="13">
        <v>45288</v>
      </c>
      <c r="N241" s="17">
        <v>319.95999999999998</v>
      </c>
      <c r="O241" s="18">
        <f t="shared" ca="1" si="13"/>
        <v>2</v>
      </c>
      <c r="P241" s="19">
        <f t="shared" si="14"/>
        <v>45747</v>
      </c>
      <c r="X241" s="25" t="str">
        <f t="shared" si="15"/>
        <v>APP</v>
      </c>
      <c r="Y241" s="25" t="str">
        <f t="shared" si="16"/>
        <v>BAS.</v>
      </c>
    </row>
    <row r="242" spans="1:25" ht="17.5" customHeight="1" thickBot="1">
      <c r="A242" s="12" t="s">
        <v>339</v>
      </c>
      <c r="B242" s="13">
        <v>45745</v>
      </c>
      <c r="C242" s="12" t="s">
        <v>589</v>
      </c>
      <c r="D242" s="12" t="s">
        <v>85</v>
      </c>
      <c r="E242" s="12" t="s">
        <v>829</v>
      </c>
      <c r="F242" s="12" t="s">
        <v>68</v>
      </c>
      <c r="G242" s="12" t="s">
        <v>17</v>
      </c>
      <c r="H242" s="14">
        <v>5</v>
      </c>
      <c r="I242" s="14">
        <v>89.99</v>
      </c>
      <c r="J242" s="12" t="s">
        <v>28</v>
      </c>
      <c r="K242" s="12" t="s">
        <v>29</v>
      </c>
      <c r="L242" s="12" t="s">
        <v>20</v>
      </c>
      <c r="M242" s="13">
        <v>44704</v>
      </c>
      <c r="N242" s="17">
        <v>449.95</v>
      </c>
      <c r="O242" s="18">
        <f t="shared" ca="1" si="13"/>
        <v>3</v>
      </c>
      <c r="P242" s="19">
        <f t="shared" si="14"/>
        <v>45747</v>
      </c>
      <c r="X242" s="25" t="str">
        <f t="shared" si="15"/>
        <v>ELE</v>
      </c>
      <c r="Y242" s="25" t="str">
        <f t="shared" si="16"/>
        <v>BAS.</v>
      </c>
    </row>
    <row r="243" spans="1:25" ht="17.5" customHeight="1" thickBot="1">
      <c r="A243" s="12" t="s">
        <v>340</v>
      </c>
      <c r="B243" s="13">
        <v>45746</v>
      </c>
      <c r="C243" s="12" t="s">
        <v>590</v>
      </c>
      <c r="D243" s="12" t="s">
        <v>57</v>
      </c>
      <c r="E243" s="12" t="s">
        <v>830</v>
      </c>
      <c r="F243" s="12" t="s">
        <v>35</v>
      </c>
      <c r="G243" s="12" t="s">
        <v>36</v>
      </c>
      <c r="H243" s="14">
        <v>3</v>
      </c>
      <c r="I243" s="14">
        <v>149.99</v>
      </c>
      <c r="J243" s="12" t="s">
        <v>28</v>
      </c>
      <c r="K243" s="12" t="s">
        <v>19</v>
      </c>
      <c r="L243" s="12" t="s">
        <v>30</v>
      </c>
      <c r="M243" s="13">
        <v>45171</v>
      </c>
      <c r="N243" s="17">
        <v>449.97</v>
      </c>
      <c r="O243" s="18">
        <f t="shared" ca="1" si="13"/>
        <v>2</v>
      </c>
      <c r="P243" s="19">
        <f t="shared" si="14"/>
        <v>45747</v>
      </c>
      <c r="X243" s="25" t="str">
        <f t="shared" si="15"/>
        <v>FUR</v>
      </c>
      <c r="Y243" s="25" t="str">
        <f t="shared" si="16"/>
        <v>STD.</v>
      </c>
    </row>
    <row r="244" spans="1:25" ht="17.5" customHeight="1" thickBot="1">
      <c r="A244" s="12" t="s">
        <v>341</v>
      </c>
      <c r="B244" s="13">
        <v>45746</v>
      </c>
      <c r="C244" s="12" t="s">
        <v>591</v>
      </c>
      <c r="D244" s="12" t="s">
        <v>47</v>
      </c>
      <c r="E244" s="12" t="s">
        <v>831</v>
      </c>
      <c r="F244" s="12" t="s">
        <v>68</v>
      </c>
      <c r="G244" s="12" t="s">
        <v>17</v>
      </c>
      <c r="H244" s="14">
        <v>2</v>
      </c>
      <c r="I244" s="14">
        <v>89.99</v>
      </c>
      <c r="J244" s="12" t="s">
        <v>42</v>
      </c>
      <c r="K244" s="12" t="s">
        <v>38</v>
      </c>
      <c r="L244" s="12" t="s">
        <v>23</v>
      </c>
      <c r="M244" s="13">
        <v>44522</v>
      </c>
      <c r="N244" s="17">
        <v>179.98</v>
      </c>
      <c r="O244" s="18">
        <f t="shared" ca="1" si="13"/>
        <v>4</v>
      </c>
      <c r="P244" s="19">
        <f t="shared" si="14"/>
        <v>45747</v>
      </c>
      <c r="X244" s="25" t="str">
        <f t="shared" si="15"/>
        <v>ELE</v>
      </c>
      <c r="Y244" s="25" t="str">
        <f t="shared" si="16"/>
        <v>PREM.</v>
      </c>
    </row>
    <row r="245" spans="1:25" ht="17.5" customHeight="1" thickBot="1">
      <c r="A245" s="12" t="s">
        <v>342</v>
      </c>
      <c r="B245" s="13">
        <v>45748</v>
      </c>
      <c r="C245" s="12" t="s">
        <v>592</v>
      </c>
      <c r="D245" s="12" t="s">
        <v>60</v>
      </c>
      <c r="E245" s="12" t="s">
        <v>832</v>
      </c>
      <c r="F245" s="12" t="s">
        <v>53</v>
      </c>
      <c r="G245" s="12" t="s">
        <v>17</v>
      </c>
      <c r="H245" s="14">
        <v>2</v>
      </c>
      <c r="I245" s="14">
        <v>699.99</v>
      </c>
      <c r="J245" s="12" t="s">
        <v>28</v>
      </c>
      <c r="K245" s="12" t="s">
        <v>32</v>
      </c>
      <c r="L245" s="12" t="s">
        <v>30</v>
      </c>
      <c r="M245" s="13">
        <v>44618</v>
      </c>
      <c r="N245" s="17">
        <v>1399.98</v>
      </c>
      <c r="O245" s="18">
        <f t="shared" ca="1" si="13"/>
        <v>3</v>
      </c>
      <c r="P245" s="19">
        <f t="shared" si="14"/>
        <v>45777</v>
      </c>
      <c r="X245" s="25" t="str">
        <f t="shared" si="15"/>
        <v>ELE</v>
      </c>
      <c r="Y245" s="25" t="str">
        <f t="shared" si="16"/>
        <v>STD.</v>
      </c>
    </row>
    <row r="246" spans="1:25" ht="17.5" customHeight="1" thickBot="1">
      <c r="A246" s="12" t="s">
        <v>343</v>
      </c>
      <c r="B246" s="13">
        <v>45749</v>
      </c>
      <c r="C246" s="12" t="s">
        <v>593</v>
      </c>
      <c r="D246" s="12" t="s">
        <v>70</v>
      </c>
      <c r="E246" s="12" t="s">
        <v>833</v>
      </c>
      <c r="F246" s="12" t="s">
        <v>45</v>
      </c>
      <c r="G246" s="12" t="s">
        <v>17</v>
      </c>
      <c r="H246" s="14">
        <v>3</v>
      </c>
      <c r="I246" s="14">
        <v>899.99</v>
      </c>
      <c r="J246" s="12" t="s">
        <v>18</v>
      </c>
      <c r="K246" s="12" t="s">
        <v>19</v>
      </c>
      <c r="L246" s="12" t="s">
        <v>30</v>
      </c>
      <c r="M246" s="13">
        <v>44953</v>
      </c>
      <c r="N246" s="17">
        <v>2699.97</v>
      </c>
      <c r="O246" s="18">
        <f t="shared" ca="1" si="13"/>
        <v>3</v>
      </c>
      <c r="P246" s="19">
        <f t="shared" si="14"/>
        <v>45777</v>
      </c>
      <c r="X246" s="25" t="str">
        <f t="shared" si="15"/>
        <v>ELE</v>
      </c>
      <c r="Y246" s="25" t="str">
        <f t="shared" si="16"/>
        <v>STD.</v>
      </c>
    </row>
    <row r="247" spans="1:25" ht="17.5" customHeight="1" thickBot="1">
      <c r="A247" s="12" t="s">
        <v>344</v>
      </c>
      <c r="B247" s="13">
        <v>45755</v>
      </c>
      <c r="C247" s="12" t="s">
        <v>594</v>
      </c>
      <c r="D247" s="12" t="s">
        <v>57</v>
      </c>
      <c r="E247" s="12" t="s">
        <v>834</v>
      </c>
      <c r="F247" s="12" t="s">
        <v>66</v>
      </c>
      <c r="G247" s="12" t="s">
        <v>27</v>
      </c>
      <c r="H247" s="14">
        <v>3</v>
      </c>
      <c r="I247" s="14">
        <v>79.989999999999995</v>
      </c>
      <c r="J247" s="12" t="s">
        <v>22</v>
      </c>
      <c r="K247" s="12" t="s">
        <v>32</v>
      </c>
      <c r="L247" s="12" t="s">
        <v>20</v>
      </c>
      <c r="M247" s="13">
        <v>44511</v>
      </c>
      <c r="N247" s="17">
        <v>239.97</v>
      </c>
      <c r="O247" s="18">
        <f t="shared" ca="1" si="13"/>
        <v>4</v>
      </c>
      <c r="P247" s="19">
        <f t="shared" si="14"/>
        <v>45777</v>
      </c>
      <c r="X247" s="25" t="str">
        <f t="shared" si="15"/>
        <v>APP</v>
      </c>
      <c r="Y247" s="25" t="str">
        <f t="shared" si="16"/>
        <v>BAS.</v>
      </c>
    </row>
    <row r="248" spans="1:25" ht="17.5" customHeight="1" thickBot="1">
      <c r="A248" s="12" t="s">
        <v>345</v>
      </c>
      <c r="B248" s="13">
        <v>45756</v>
      </c>
      <c r="C248" s="12" t="s">
        <v>595</v>
      </c>
      <c r="D248" s="12" t="s">
        <v>43</v>
      </c>
      <c r="E248" s="12" t="s">
        <v>835</v>
      </c>
      <c r="F248" s="12" t="s">
        <v>68</v>
      </c>
      <c r="G248" s="12" t="s">
        <v>17</v>
      </c>
      <c r="H248" s="14">
        <v>1</v>
      </c>
      <c r="I248" s="14">
        <v>89.99</v>
      </c>
      <c r="J248" s="12" t="s">
        <v>42</v>
      </c>
      <c r="K248" s="12" t="s">
        <v>46</v>
      </c>
      <c r="L248" s="12" t="s">
        <v>20</v>
      </c>
      <c r="M248" s="13">
        <v>45346</v>
      </c>
      <c r="N248" s="17">
        <v>89.99</v>
      </c>
      <c r="O248" s="18">
        <f t="shared" ca="1" si="13"/>
        <v>2</v>
      </c>
      <c r="P248" s="19">
        <f t="shared" si="14"/>
        <v>45777</v>
      </c>
      <c r="X248" s="25" t="str">
        <f t="shared" si="15"/>
        <v>ELE</v>
      </c>
      <c r="Y248" s="25" t="str">
        <f t="shared" si="16"/>
        <v>BAS.</v>
      </c>
    </row>
    <row r="249" spans="1:25" ht="17.5" customHeight="1" thickBot="1">
      <c r="A249" s="12" t="s">
        <v>346</v>
      </c>
      <c r="B249" s="13">
        <v>45758</v>
      </c>
      <c r="C249" s="12" t="s">
        <v>596</v>
      </c>
      <c r="D249" s="12" t="s">
        <v>95</v>
      </c>
      <c r="E249" s="12" t="s">
        <v>836</v>
      </c>
      <c r="F249" s="12" t="s">
        <v>53</v>
      </c>
      <c r="G249" s="12" t="s">
        <v>17</v>
      </c>
      <c r="H249" s="14">
        <v>3</v>
      </c>
      <c r="I249" s="14">
        <v>699.99</v>
      </c>
      <c r="J249" s="12" t="s">
        <v>28</v>
      </c>
      <c r="K249" s="12" t="s">
        <v>32</v>
      </c>
      <c r="L249" s="12" t="s">
        <v>20</v>
      </c>
      <c r="M249" s="13">
        <v>44909</v>
      </c>
      <c r="N249" s="17">
        <v>2099.9699999999998</v>
      </c>
      <c r="O249" s="18">
        <f t="shared" ca="1" si="13"/>
        <v>3</v>
      </c>
      <c r="P249" s="19">
        <f t="shared" si="14"/>
        <v>45777</v>
      </c>
      <c r="X249" s="25" t="str">
        <f t="shared" si="15"/>
        <v>ELE</v>
      </c>
      <c r="Y249" s="25" t="str">
        <f t="shared" si="16"/>
        <v>BAS.</v>
      </c>
    </row>
    <row r="250" spans="1:25" ht="17.5" customHeight="1" thickBot="1">
      <c r="A250" s="12" t="s">
        <v>347</v>
      </c>
      <c r="B250" s="13">
        <v>45758</v>
      </c>
      <c r="C250" s="12" t="s">
        <v>597</v>
      </c>
      <c r="D250" s="12" t="s">
        <v>89</v>
      </c>
      <c r="E250" s="12" t="s">
        <v>837</v>
      </c>
      <c r="F250" s="12" t="s">
        <v>68</v>
      </c>
      <c r="G250" s="12" t="s">
        <v>17</v>
      </c>
      <c r="H250" s="14">
        <v>2</v>
      </c>
      <c r="I250" s="14">
        <v>89.99</v>
      </c>
      <c r="J250" s="12" t="s">
        <v>42</v>
      </c>
      <c r="K250" s="12" t="s">
        <v>46</v>
      </c>
      <c r="L250" s="12" t="s">
        <v>20</v>
      </c>
      <c r="M250" s="13">
        <v>45088</v>
      </c>
      <c r="N250" s="17">
        <v>179.98</v>
      </c>
      <c r="O250" s="18">
        <f t="shared" ca="1" si="13"/>
        <v>2</v>
      </c>
      <c r="P250" s="19">
        <f t="shared" si="14"/>
        <v>45777</v>
      </c>
      <c r="X250" s="25" t="str">
        <f t="shared" si="15"/>
        <v>ELE</v>
      </c>
      <c r="Y250" s="25" t="str">
        <f t="shared" si="16"/>
        <v>BAS.</v>
      </c>
    </row>
    <row r="251" spans="1:25" ht="17.5" customHeight="1" thickBot="1">
      <c r="A251" s="12" t="s">
        <v>348</v>
      </c>
      <c r="B251" s="13">
        <v>45758</v>
      </c>
      <c r="C251" s="12" t="s">
        <v>598</v>
      </c>
      <c r="D251" s="12" t="s">
        <v>75</v>
      </c>
      <c r="E251" s="12" t="s">
        <v>838</v>
      </c>
      <c r="F251" s="12" t="s">
        <v>68</v>
      </c>
      <c r="G251" s="12" t="s">
        <v>17</v>
      </c>
      <c r="H251" s="14">
        <v>3</v>
      </c>
      <c r="I251" s="14">
        <v>89.99</v>
      </c>
      <c r="J251" s="12" t="s">
        <v>42</v>
      </c>
      <c r="K251" s="12" t="s">
        <v>32</v>
      </c>
      <c r="L251" s="12" t="s">
        <v>23</v>
      </c>
      <c r="M251" s="13">
        <v>44878</v>
      </c>
      <c r="N251" s="17">
        <v>269.97000000000003</v>
      </c>
      <c r="O251" s="18">
        <f ca="1">DATEDIF(M251, TODAY(), "Y")</f>
        <v>3</v>
      </c>
      <c r="P251" s="19">
        <f t="shared" si="14"/>
        <v>45777</v>
      </c>
      <c r="X251" s="25" t="str">
        <f t="shared" si="15"/>
        <v>ELE</v>
      </c>
      <c r="Y251" s="25" t="str">
        <f t="shared" si="16"/>
        <v>PREM.</v>
      </c>
    </row>
    <row r="254" spans="1:25" ht="17.5" customHeight="1">
      <c r="D254" s="1" t="s">
        <v>843</v>
      </c>
    </row>
  </sheetData>
  <scenarios current="0" show="0">
    <scenario name="High" locked="1" count="1" user="Admin" comment="Created by Admin on 22-02-2026">
      <inputCells r="R11" val="0.8"/>
    </scenario>
    <scenario name="second" locked="1" count="1" user="Admin" comment="Created by Admin on 22-02-2026">
      <inputCells r="R11" val="0.7"/>
    </scenario>
    <scenario name="third" locked="1" count="1" user="Admin" comment="Created by Admin on 22-02-2026">
      <inputCells r="R11" val="0.6"/>
    </scenario>
    <scenario name="fourth" locked="1" count="1" user="Admin" comment="Created by Admin on 22-02-2026">
      <inputCells r="R11" val="0.5"/>
    </scenario>
    <scenario name="fifth" locked="1" count="1" user="Admin" comment="Created by Admin on 22-02-2026">
      <inputCells r="R11" val="0.4"/>
    </scenario>
    <scenario name="six" locked="1" count="1" user="Admin" comment="Created by Admin on 22-02-2026_x000a_Modified by Admin on 22-02-2026">
      <inputCells r="R11" val="0.3"/>
    </scenario>
    <scenario name="seven" locked="1" count="1" user="Admin" comment="Created by Admin on 22-02-2026">
      <inputCells r="R11" val="0.2"/>
    </scenario>
    <scenario name="low" locked="1" count="1" user="Admin" comment="Created by Admin on 22-02-2026">
      <inputCells r="R11" val="0.1"/>
    </scenario>
  </scenarios>
  <mergeCells count="2">
    <mergeCell ref="Q9:R9"/>
    <mergeCell ref="Q15:R15"/>
  </mergeCells>
  <conditionalFormatting sqref="D2:D251">
    <cfRule type="expression" dxfId="126" priority="3">
      <formula>$O2&gt;3</formula>
    </cfRule>
  </conditionalFormatting>
  <pageMargins left="0.7" right="0.7" top="0.75" bottom="0.75" header="0.3" footer="0.3"/>
  <pageSetup paperSize="9" orientation="portrait" horizontalDpi="300" verticalDpi="0" r:id="rId1"/>
  <extLst>
    <ext xmlns:x14="http://schemas.microsoft.com/office/spreadsheetml/2009/9/main" uri="{78C0D931-6437-407d-A8EE-F0AAD7539E65}">
      <x14:conditionalFormattings>
        <x14:conditionalFormatting xmlns:xm="http://schemas.microsoft.com/office/excel/2006/main">
          <x14:cfRule type="iconSet" priority="5" id="{7B67F8B3-9F6D-414B-9366-96DE0A231570}">
            <x14:iconSet iconSet="3Triangles">
              <x14:cfvo type="percent">
                <xm:f>0</xm:f>
              </x14:cfvo>
              <x14:cfvo type="num">
                <xm:f>500</xm:f>
              </x14:cfvo>
              <x14:cfvo type="num">
                <xm:f>500</xm:f>
              </x14:cfvo>
            </x14:iconSet>
          </x14:cfRule>
          <xm:sqref>N2:N251</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B47"/>
  <sheetViews>
    <sheetView workbookViewId="0">
      <selection activeCell="B33" sqref="B33"/>
    </sheetView>
  </sheetViews>
  <sheetFormatPr defaultRowHeight="14.5"/>
  <cols>
    <col min="1" max="1" width="20.81640625" customWidth="1"/>
    <col min="2" max="2" width="19.36328125" bestFit="1" customWidth="1"/>
  </cols>
  <sheetData>
    <row r="2" spans="1:2">
      <c r="A2" s="4" t="s">
        <v>882</v>
      </c>
      <c r="B2" s="5" t="s">
        <v>896</v>
      </c>
    </row>
    <row r="3" spans="1:2">
      <c r="A3" s="6" t="s">
        <v>893</v>
      </c>
      <c r="B3" s="7">
        <v>25799.15</v>
      </c>
    </row>
    <row r="4" spans="1:2">
      <c r="A4" s="6" t="s">
        <v>894</v>
      </c>
      <c r="B4" s="7">
        <v>16069.379999999997</v>
      </c>
    </row>
    <row r="5" spans="1:2">
      <c r="A5" s="6" t="s">
        <v>895</v>
      </c>
      <c r="B5" s="7">
        <v>19899.379999999997</v>
      </c>
    </row>
    <row r="6" spans="1:2">
      <c r="A6" s="6" t="s">
        <v>884</v>
      </c>
      <c r="B6" s="7">
        <v>27899.160000000007</v>
      </c>
    </row>
    <row r="7" spans="1:2">
      <c r="A7" s="6" t="s">
        <v>885</v>
      </c>
      <c r="B7" s="7">
        <v>17039.349999999999</v>
      </c>
    </row>
    <row r="8" spans="1:2">
      <c r="A8" s="6" t="s">
        <v>886</v>
      </c>
      <c r="B8" s="7">
        <v>19299.45</v>
      </c>
    </row>
    <row r="9" spans="1:2">
      <c r="A9" s="6" t="s">
        <v>887</v>
      </c>
      <c r="B9" s="7">
        <v>18479.399999999994</v>
      </c>
    </row>
    <row r="10" spans="1:2">
      <c r="A10" s="6" t="s">
        <v>888</v>
      </c>
      <c r="B10" s="7">
        <v>15759.429999999997</v>
      </c>
    </row>
    <row r="11" spans="1:2">
      <c r="A11" s="6" t="s">
        <v>889</v>
      </c>
      <c r="B11" s="7">
        <v>12989.509999999997</v>
      </c>
    </row>
    <row r="12" spans="1:2">
      <c r="A12" s="6" t="s">
        <v>890</v>
      </c>
      <c r="B12" s="7">
        <v>20609.52</v>
      </c>
    </row>
    <row r="13" spans="1:2">
      <c r="A13" s="6" t="s">
        <v>891</v>
      </c>
      <c r="B13" s="7">
        <v>12309.439999999999</v>
      </c>
    </row>
    <row r="14" spans="1:2">
      <c r="A14" s="6" t="s">
        <v>892</v>
      </c>
      <c r="B14" s="7">
        <v>23039.3</v>
      </c>
    </row>
    <row r="15" spans="1:2">
      <c r="A15" s="6" t="s">
        <v>883</v>
      </c>
      <c r="B15" s="7">
        <v>229192.47</v>
      </c>
    </row>
    <row r="19" spans="1:2">
      <c r="A19" s="4" t="s">
        <v>882</v>
      </c>
      <c r="B19" s="5" t="s">
        <v>896</v>
      </c>
    </row>
    <row r="20" spans="1:2">
      <c r="A20" s="8" t="s">
        <v>19</v>
      </c>
      <c r="B20" s="7">
        <v>41288.340000000018</v>
      </c>
    </row>
    <row r="21" spans="1:2">
      <c r="A21" s="8" t="s">
        <v>46</v>
      </c>
      <c r="B21" s="7">
        <v>59288.389999999992</v>
      </c>
    </row>
    <row r="22" spans="1:2">
      <c r="A22" s="8" t="s">
        <v>32</v>
      </c>
      <c r="B22" s="7">
        <v>50808.310000000012</v>
      </c>
    </row>
    <row r="23" spans="1:2">
      <c r="A23" s="8" t="s">
        <v>29</v>
      </c>
      <c r="B23" s="7">
        <v>36398.750000000007</v>
      </c>
    </row>
    <row r="24" spans="1:2">
      <c r="A24" s="8" t="s">
        <v>38</v>
      </c>
      <c r="B24" s="7">
        <v>41408.680000000015</v>
      </c>
    </row>
    <row r="25" spans="1:2">
      <c r="A25" s="8" t="s">
        <v>883</v>
      </c>
      <c r="B25" s="7">
        <v>229192.47000000006</v>
      </c>
    </row>
    <row r="28" spans="1:2">
      <c r="A28" s="4" t="s">
        <v>882</v>
      </c>
      <c r="B28" s="5" t="s">
        <v>896</v>
      </c>
    </row>
    <row r="29" spans="1:2">
      <c r="A29" s="8" t="s">
        <v>26</v>
      </c>
      <c r="B29" s="9">
        <v>2.2771821430259021E-2</v>
      </c>
    </row>
    <row r="30" spans="1:2">
      <c r="A30" s="8" t="s">
        <v>35</v>
      </c>
      <c r="B30" s="9">
        <v>6.6751669459297669E-2</v>
      </c>
    </row>
    <row r="31" spans="1:2">
      <c r="A31" s="8" t="s">
        <v>66</v>
      </c>
      <c r="B31" s="9">
        <v>1.361131105223483E-2</v>
      </c>
    </row>
    <row r="32" spans="1:2">
      <c r="A32" s="8" t="s">
        <v>62</v>
      </c>
      <c r="B32" s="9">
        <v>0.10209419183797794</v>
      </c>
    </row>
    <row r="33" spans="1:2">
      <c r="A33" s="8" t="s">
        <v>40</v>
      </c>
      <c r="B33" s="9">
        <v>3.0758122201833243E-2</v>
      </c>
    </row>
    <row r="34" spans="1:2">
      <c r="A34" s="8" t="s">
        <v>68</v>
      </c>
      <c r="B34" s="9">
        <v>3.4944908966686374E-2</v>
      </c>
    </row>
    <row r="35" spans="1:2">
      <c r="A35" s="8" t="s">
        <v>45</v>
      </c>
      <c r="B35" s="9">
        <v>0.29450902117333966</v>
      </c>
    </row>
    <row r="36" spans="1:2">
      <c r="A36" s="8" t="s">
        <v>16</v>
      </c>
      <c r="B36" s="9">
        <v>9.5985352398357593E-2</v>
      </c>
    </row>
    <row r="37" spans="1:2">
      <c r="A37" s="8" t="s">
        <v>72</v>
      </c>
      <c r="B37" s="9">
        <v>4.5374440093952473E-2</v>
      </c>
    </row>
    <row r="38" spans="1:2">
      <c r="A38" s="8" t="s">
        <v>53</v>
      </c>
      <c r="B38" s="9">
        <v>0.29319916138606122</v>
      </c>
    </row>
    <row r="39" spans="1:2">
      <c r="A39" s="8" t="s">
        <v>883</v>
      </c>
      <c r="B39" s="9">
        <v>1</v>
      </c>
    </row>
    <row r="42" spans="1:2">
      <c r="A42" s="5" t="s">
        <v>896</v>
      </c>
    </row>
    <row r="43" spans="1:2">
      <c r="A43" s="7">
        <v>229192.47000000032</v>
      </c>
      <c r="B43" s="10">
        <f>GETPIVOTDATA("Total_Amount",$A$42)</f>
        <v>229192.47000000032</v>
      </c>
    </row>
    <row r="46" spans="1:2">
      <c r="A46" s="5" t="s">
        <v>897</v>
      </c>
    </row>
    <row r="47" spans="1:2">
      <c r="A47" s="7">
        <v>250</v>
      </c>
      <c r="B47">
        <f>GETPIVOTDATA("Total_Amount",$A$46)</f>
        <v>250</v>
      </c>
    </row>
  </sheetData>
  <pageMargins left="0.7" right="0.7" top="0.75" bottom="0.75" header="0.3" footer="0.3"/>
  <pageSetup paperSize="9" orientation="portrait" horizontalDpi="300" verticalDpi="0" r:id="rId6"/>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showRowColHeaders="0" zoomScale="66" zoomScaleNormal="85" workbookViewId="0">
      <selection activeCell="U34" sqref="U34"/>
    </sheetView>
  </sheetViews>
  <sheetFormatPr defaultRowHeight="14.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Linear Regression</vt:lpstr>
      <vt:lpstr>Main Data</vt:lpstr>
      <vt:lpstr>Pivote table</vt:lpstr>
      <vt:lpstr>Dash 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2026-02-17T08:50:51Z</dcterms:created>
  <dcterms:modified xsi:type="dcterms:W3CDTF">2026-02-23T20:47:00Z</dcterms:modified>
</cp:coreProperties>
</file>